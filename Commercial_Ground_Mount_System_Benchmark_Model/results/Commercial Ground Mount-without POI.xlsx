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ramasam/Desktop/system_cost_models/2021/pv_benchmark/Commercial_Ground_Mount_System_Benchmark_Model/results/"/>
    </mc:Choice>
  </mc:AlternateContent>
  <xr:revisionPtr revIDLastSave="0" documentId="13_ncr:1_{283F9003-6823-0C44-9E86-A49932A2B00E}" xr6:coauthVersionLast="46" xr6:coauthVersionMax="46" xr10:uidLastSave="{00000000-0000-0000-0000-000000000000}"/>
  <bookViews>
    <workbookView xWindow="11840" yWindow="460" windowWidth="21100" windowHeight="11920" xr2:uid="{00000000-000D-0000-FFFF-FFFF00000000}"/>
  </bookViews>
  <sheets>
    <sheet name="US Weighted Average Results" sheetId="1" r:id="rId1"/>
    <sheet name="Fixed-Tilt 0.1 MW" sheetId="2" r:id="rId2"/>
    <sheet name="Fixed-Tilt 0.2 MW" sheetId="3" r:id="rId3"/>
    <sheet name="Fixed-Tilt 0.5 MW" sheetId="4" r:id="rId4"/>
    <sheet name="Fixed-Tilt 1 MW" sheetId="5" r:id="rId5"/>
    <sheet name="Fixed-Tilt 2 MW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4" i="1" l="1"/>
  <c r="J24" i="1"/>
  <c r="K24" i="1"/>
  <c r="L24" i="1"/>
  <c r="M24" i="1"/>
  <c r="I25" i="1"/>
  <c r="J25" i="1"/>
  <c r="K25" i="1"/>
  <c r="L25" i="1"/>
  <c r="M25" i="1"/>
  <c r="I26" i="1"/>
  <c r="J26" i="1"/>
  <c r="K26" i="1"/>
  <c r="L26" i="1"/>
  <c r="M26" i="1"/>
  <c r="I27" i="1"/>
  <c r="J27" i="1"/>
  <c r="K27" i="1"/>
  <c r="L27" i="1"/>
  <c r="M27" i="1"/>
  <c r="I28" i="1"/>
  <c r="J28" i="1"/>
  <c r="K28" i="1"/>
  <c r="L28" i="1"/>
  <c r="M28" i="1"/>
  <c r="I29" i="1"/>
  <c r="J29" i="1"/>
  <c r="K29" i="1"/>
  <c r="L29" i="1"/>
  <c r="M29" i="1"/>
  <c r="I30" i="1"/>
  <c r="J30" i="1"/>
  <c r="K30" i="1"/>
  <c r="L30" i="1"/>
  <c r="M30" i="1"/>
  <c r="I32" i="1"/>
  <c r="J32" i="1"/>
  <c r="K32" i="1"/>
  <c r="L32" i="1"/>
  <c r="M32" i="1"/>
  <c r="I33" i="1"/>
  <c r="J33" i="1"/>
  <c r="K33" i="1"/>
  <c r="L33" i="1"/>
  <c r="M33" i="1"/>
  <c r="I34" i="1"/>
  <c r="J34" i="1"/>
  <c r="K34" i="1"/>
  <c r="L34" i="1"/>
  <c r="M34" i="1"/>
  <c r="I35" i="1"/>
  <c r="J35" i="1"/>
  <c r="K35" i="1"/>
  <c r="L35" i="1"/>
  <c r="M35" i="1"/>
  <c r="I36" i="1"/>
  <c r="J36" i="1"/>
  <c r="K36" i="1"/>
  <c r="L36" i="1"/>
  <c r="M36" i="1"/>
  <c r="J23" i="1"/>
  <c r="K23" i="1"/>
  <c r="L23" i="1"/>
  <c r="M23" i="1"/>
  <c r="I23" i="1"/>
</calcChain>
</file>

<file path=xl/sharedStrings.xml><?xml version="1.0" encoding="utf-8"?>
<sst xmlns="http://schemas.openxmlformats.org/spreadsheetml/2006/main" count="131" uniqueCount="18">
  <si>
    <t>Fixed-Tilt</t>
  </si>
  <si>
    <t>Contingency (3%)</t>
  </si>
  <si>
    <t>Developer Overhead</t>
  </si>
  <si>
    <t>EPC/Developer Net Profit</t>
  </si>
  <si>
    <t>Electrical BOS</t>
  </si>
  <si>
    <t>Epc Overhead</t>
  </si>
  <si>
    <t>Install Labor &amp; Equipment</t>
  </si>
  <si>
    <t>Interconnection Fee</t>
  </si>
  <si>
    <t>Inverter Only</t>
  </si>
  <si>
    <t>Land Acquisition</t>
  </si>
  <si>
    <t>Module</t>
  </si>
  <si>
    <t>Permitting Fee (if any)</t>
  </si>
  <si>
    <t>Sale Tax (if any)</t>
  </si>
  <si>
    <t>Structural BOS</t>
  </si>
  <si>
    <t>Total System Cost</t>
  </si>
  <si>
    <t>Transmission Line (if any)</t>
  </si>
  <si>
    <t>United States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</si>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</sst>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0" fontId="0" fillId="0" borderId="0" xfId="1" applyNumberFormat="1" applyFont="1"/>
    <xf numFmtId="10" fontId="0" fillId="2" borderId="0" xfId="1" applyNumberFormat="1" applyFont="1" applyFill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7"/>
  <sheetViews>
    <sheetView tabSelected="1" topLeftCell="A13" workbookViewId="0">
      <selection activeCell="I29" sqref="I29:M29"/>
    </sheetView>
  </sheetViews>
  <sheetFormatPr baseColWidth="10" defaultColWidth="8.83203125" defaultRowHeight="15" x14ac:dyDescent="0.2"/>
  <sheetData>
    <row r="1" spans="1:6" x14ac:dyDescent="0.2">
      <c r="A1" s="1"/>
      <c r="B1" s="2" t="s">
        <v>0</v>
      </c>
      <c r="C1" s="2"/>
      <c r="D1" s="2"/>
      <c r="E1" s="2"/>
      <c r="F1" s="2"/>
    </row>
    <row r="2" spans="1:6" x14ac:dyDescent="0.2">
      <c r="A2" s="1"/>
      <c r="B2" s="1">
        <v>0.1</v>
      </c>
      <c r="C2" s="1">
        <v>0.2</v>
      </c>
      <c r="D2" s="1">
        <v>0.5</v>
      </c>
      <c r="E2" s="1">
        <v>1</v>
      </c>
      <c r="F2" s="1">
        <v>2</v>
      </c>
    </row>
    <row r="4" spans="1:6" x14ac:dyDescent="0.2">
      <c r="A4" s="1" t="s">
        <v>1</v>
      </c>
      <c r="B4">
        <v>6.4722797146885641E-2</v>
      </c>
      <c r="C4">
        <v>5.5262466979162497E-2</v>
      </c>
      <c r="D4">
        <v>4.8122900546725467E-2</v>
      </c>
      <c r="E4">
        <v>4.4570407477939347E-2</v>
      </c>
      <c r="F4">
        <v>4.2692533576536233E-2</v>
      </c>
    </row>
    <row r="5" spans="1:6" x14ac:dyDescent="0.2">
      <c r="A5" s="1" t="s">
        <v>2</v>
      </c>
      <c r="B5">
        <v>0.48542097860164241</v>
      </c>
      <c r="C5">
        <v>0.41446850234371868</v>
      </c>
      <c r="D5">
        <v>0.36092175410044097</v>
      </c>
      <c r="E5">
        <v>0.33427805608454508</v>
      </c>
      <c r="F5">
        <v>0.32019400182402169</v>
      </c>
    </row>
    <row r="6" spans="1:6" x14ac:dyDescent="0.2">
      <c r="A6" s="1" t="s">
        <v>3</v>
      </c>
      <c r="B6">
        <v>0.1734570963536535</v>
      </c>
      <c r="C6">
        <v>0.14810341150415551</v>
      </c>
      <c r="D6">
        <v>0.1289693734652243</v>
      </c>
      <c r="E6">
        <v>0.11944869204087739</v>
      </c>
      <c r="F6">
        <v>0.11441598998511709</v>
      </c>
    </row>
    <row r="7" spans="1:6" x14ac:dyDescent="0.2">
      <c r="A7" s="1" t="s">
        <v>4</v>
      </c>
      <c r="B7">
        <v>0.41643989827496869</v>
      </c>
      <c r="C7">
        <v>0.32311335813258479</v>
      </c>
      <c r="D7">
        <v>0.23768949437978679</v>
      </c>
      <c r="E7">
        <v>0.1862675726104783</v>
      </c>
      <c r="F7">
        <v>0.1591287649539225</v>
      </c>
    </row>
    <row r="8" spans="1:6" x14ac:dyDescent="0.2">
      <c r="A8" s="1" t="s">
        <v>5</v>
      </c>
      <c r="B8">
        <v>0.16773679275217329</v>
      </c>
      <c r="C8">
        <v>0.1344788144409946</v>
      </c>
      <c r="D8">
        <v>0.1101823465182014</v>
      </c>
      <c r="E8">
        <v>9.8386951466644668E-2</v>
      </c>
      <c r="F8">
        <v>9.1976176560512449E-2</v>
      </c>
    </row>
    <row r="9" spans="1:6" x14ac:dyDescent="0.2">
      <c r="A9" s="1" t="s">
        <v>6</v>
      </c>
      <c r="B9">
        <v>0.20954023956265469</v>
      </c>
      <c r="C9">
        <v>0.17654382051715981</v>
      </c>
      <c r="D9">
        <v>0.15566253060181509</v>
      </c>
      <c r="E9">
        <v>0.14737379955868701</v>
      </c>
      <c r="F9">
        <v>0.14272033147344679</v>
      </c>
    </row>
    <row r="10" spans="1:6" x14ac:dyDescent="0.2">
      <c r="A10" s="1" t="s">
        <v>7</v>
      </c>
      <c r="B10">
        <v>2.812851058178609E-2</v>
      </c>
      <c r="C10">
        <v>2.812851058178609E-2</v>
      </c>
      <c r="D10">
        <v>2.812851058178608E-2</v>
      </c>
      <c r="E10">
        <v>2.812851058178608E-2</v>
      </c>
      <c r="F10">
        <v>2.812851058178608E-2</v>
      </c>
    </row>
    <row r="11" spans="1:6" x14ac:dyDescent="0.2">
      <c r="A11" s="1" t="s">
        <v>8</v>
      </c>
      <c r="B11">
        <v>7.2072072072072071E-2</v>
      </c>
      <c r="C11">
        <v>7.2072072072072071E-2</v>
      </c>
      <c r="D11">
        <v>7.2072072072072071E-2</v>
      </c>
      <c r="E11">
        <v>7.2072072072072071E-2</v>
      </c>
      <c r="F11">
        <v>7.2072072072072071E-2</v>
      </c>
    </row>
    <row r="12" spans="1:6" x14ac:dyDescent="0.2">
      <c r="A12" s="1" t="s">
        <v>9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2">
      <c r="A13" s="1" t="s">
        <v>10</v>
      </c>
      <c r="B13">
        <v>0.41</v>
      </c>
      <c r="C13">
        <v>0.41</v>
      </c>
      <c r="D13">
        <v>0.41</v>
      </c>
      <c r="E13">
        <v>0.41</v>
      </c>
      <c r="F13">
        <v>0.41</v>
      </c>
    </row>
    <row r="14" spans="1:6" x14ac:dyDescent="0.2">
      <c r="A14" s="1" t="s">
        <v>11</v>
      </c>
      <c r="B14">
        <v>7.5830999999999996E-2</v>
      </c>
      <c r="C14">
        <v>3.7915499999999998E-2</v>
      </c>
      <c r="D14">
        <v>1.5166199999999999E-2</v>
      </c>
      <c r="E14">
        <v>7.5830999999999997E-3</v>
      </c>
      <c r="F14">
        <v>3.7915499999999999E-3</v>
      </c>
    </row>
    <row r="15" spans="1:6" x14ac:dyDescent="0.2">
      <c r="A15" s="1" t="s">
        <v>12</v>
      </c>
      <c r="B15">
        <v>6.7187701436373357E-2</v>
      </c>
      <c r="C15">
        <v>5.9841376367616023E-2</v>
      </c>
      <c r="D15">
        <v>5.3702432122784471E-2</v>
      </c>
      <c r="E15">
        <v>5.0312351592177153E-2</v>
      </c>
      <c r="F15">
        <v>4.8526653867553643E-2</v>
      </c>
    </row>
    <row r="16" spans="1:6" x14ac:dyDescent="0.2">
      <c r="A16" s="1" t="s">
        <v>13</v>
      </c>
      <c r="B16">
        <v>0.17113371399211291</v>
      </c>
      <c r="C16">
        <v>0.13946822236684919</v>
      </c>
      <c r="D16">
        <v>0.120468927391691</v>
      </c>
      <c r="E16">
        <v>0.1141358290666383</v>
      </c>
      <c r="F16">
        <v>0.1109692799041119</v>
      </c>
    </row>
    <row r="17" spans="1:13" x14ac:dyDescent="0.2">
      <c r="A17" s="1" t="s">
        <v>14</v>
      </c>
      <c r="B17">
        <v>2.341670800774323</v>
      </c>
      <c r="C17">
        <v>1.999396055306099</v>
      </c>
      <c r="D17">
        <v>1.7410865417805279</v>
      </c>
      <c r="E17">
        <v>1.6125573425518449</v>
      </c>
      <c r="F17">
        <v>1.5446158647990811</v>
      </c>
    </row>
    <row r="18" spans="1:13" x14ac:dyDescent="0.2">
      <c r="A18" s="1" t="s">
        <v>15</v>
      </c>
      <c r="B18">
        <v>0</v>
      </c>
      <c r="C18">
        <v>0</v>
      </c>
      <c r="D18">
        <v>0</v>
      </c>
      <c r="E18">
        <v>0</v>
      </c>
      <c r="F18">
        <v>0</v>
      </c>
    </row>
    <row r="21" spans="1:13" x14ac:dyDescent="0.2">
      <c r="A21" s="1"/>
      <c r="B21" s="1">
        <v>0.1</v>
      </c>
      <c r="C21" s="1">
        <v>0.2</v>
      </c>
      <c r="D21" s="1">
        <v>0.5</v>
      </c>
      <c r="E21" s="1">
        <v>1</v>
      </c>
      <c r="F21" s="1">
        <v>2</v>
      </c>
      <c r="H21" s="1"/>
      <c r="I21" s="1">
        <v>0.1</v>
      </c>
      <c r="J21" s="1">
        <v>0.2</v>
      </c>
      <c r="K21" s="1">
        <v>0.5</v>
      </c>
      <c r="L21" s="1">
        <v>1</v>
      </c>
      <c r="M21" s="1">
        <v>2</v>
      </c>
    </row>
    <row r="23" spans="1:13" x14ac:dyDescent="0.2">
      <c r="A23" s="1" t="s">
        <v>1</v>
      </c>
      <c r="B23">
        <v>6.4425640954097196E-2</v>
      </c>
      <c r="C23">
        <v>5.4970092091948357E-2</v>
      </c>
      <c r="D23">
        <v>4.783495340560482E-2</v>
      </c>
      <c r="E23">
        <v>4.4284767385960912E-2</v>
      </c>
      <c r="F23">
        <v>4.2408606396728547E-2</v>
      </c>
      <c r="H23" s="1" t="s">
        <v>1</v>
      </c>
      <c r="I23" s="3">
        <f>(B23-B4)/B4</f>
        <v>-4.5912136973014529E-3</v>
      </c>
      <c r="J23" s="3">
        <f t="shared" ref="J23:M23" si="0">(C23-C4)/C4</f>
        <v>-5.2906593425223773E-3</v>
      </c>
      <c r="K23" s="3">
        <f t="shared" si="0"/>
        <v>-5.9835782517111812E-3</v>
      </c>
      <c r="L23" s="3">
        <f t="shared" si="0"/>
        <v>-6.4087386259552691E-3</v>
      </c>
      <c r="M23" s="3">
        <f t="shared" si="0"/>
        <v>-6.6505113663184404E-3</v>
      </c>
    </row>
    <row r="24" spans="1:13" x14ac:dyDescent="0.2">
      <c r="A24" s="1" t="s">
        <v>2</v>
      </c>
      <c r="B24">
        <v>0.48319230715572897</v>
      </c>
      <c r="C24">
        <v>0.41227569068961262</v>
      </c>
      <c r="D24">
        <v>0.35876215054203608</v>
      </c>
      <c r="E24">
        <v>0.3321357553947068</v>
      </c>
      <c r="F24">
        <v>0.31806454797546407</v>
      </c>
      <c r="H24" s="1" t="s">
        <v>2</v>
      </c>
      <c r="I24" s="3">
        <f t="shared" ref="I24:I37" si="1">(B24-B5)/B5</f>
        <v>-4.5912136973016516E-3</v>
      </c>
      <c r="J24" s="3">
        <f t="shared" ref="J24:J37" si="2">(C24-C5)/C5</f>
        <v>-5.2906593425224033E-3</v>
      </c>
      <c r="K24" s="3">
        <f t="shared" ref="K24:K37" si="3">(D24-D5)/D5</f>
        <v>-5.9835782517112879E-3</v>
      </c>
      <c r="L24" s="3">
        <f t="shared" ref="L24:L37" si="4">(E24-E5)/E5</f>
        <v>-6.4087386259553221E-3</v>
      </c>
      <c r="M24" s="3">
        <f t="shared" ref="M24:M37" si="5">(F24-F5)/F5</f>
        <v>-6.6505113663183554E-3</v>
      </c>
    </row>
    <row r="25" spans="1:13" x14ac:dyDescent="0.2">
      <c r="A25" s="1" t="s">
        <v>3</v>
      </c>
      <c r="B25">
        <v>0.1726607177569805</v>
      </c>
      <c r="C25">
        <v>0.1473198468064216</v>
      </c>
      <c r="D25">
        <v>0.1281976751270209</v>
      </c>
      <c r="E25">
        <v>0.1186831765943752</v>
      </c>
      <c r="F25">
        <v>0.11365506514323249</v>
      </c>
      <c r="H25" s="1" t="s">
        <v>3</v>
      </c>
      <c r="I25" s="3">
        <f t="shared" si="1"/>
        <v>-4.5912136973012864E-3</v>
      </c>
      <c r="J25" s="3">
        <f t="shared" si="2"/>
        <v>-5.2906593425224874E-3</v>
      </c>
      <c r="K25" s="3">
        <f t="shared" si="3"/>
        <v>-5.9835782517116765E-3</v>
      </c>
      <c r="L25" s="3">
        <f t="shared" si="4"/>
        <v>-6.4087386259551356E-3</v>
      </c>
      <c r="M25" s="3">
        <f t="shared" si="5"/>
        <v>-6.650511366318456E-3</v>
      </c>
    </row>
    <row r="26" spans="1:13" x14ac:dyDescent="0.2">
      <c r="A26" s="1" t="s">
        <v>4</v>
      </c>
      <c r="B26">
        <v>0.41577815599940882</v>
      </c>
      <c r="C26">
        <v>0.32253087612913262</v>
      </c>
      <c r="D26">
        <v>0.23717734246010991</v>
      </c>
      <c r="E26">
        <v>0.18579086696207089</v>
      </c>
      <c r="F26">
        <v>0.15867712360429759</v>
      </c>
      <c r="H26" s="1" t="s">
        <v>4</v>
      </c>
      <c r="I26" s="3">
        <f t="shared" si="1"/>
        <v>-1.5890462904755956E-3</v>
      </c>
      <c r="J26" s="3">
        <f t="shared" si="2"/>
        <v>-1.802717185134653E-3</v>
      </c>
      <c r="K26" s="3">
        <f t="shared" si="3"/>
        <v>-2.1547099547384635E-3</v>
      </c>
      <c r="L26" s="3">
        <f t="shared" si="4"/>
        <v>-2.5592519499048243E-3</v>
      </c>
      <c r="M26" s="3">
        <f t="shared" si="5"/>
        <v>-2.8382131273104062E-3</v>
      </c>
    </row>
    <row r="27" spans="1:13" x14ac:dyDescent="0.2">
      <c r="A27" s="1" t="s">
        <v>5</v>
      </c>
      <c r="B27">
        <v>0.1666112722671815</v>
      </c>
      <c r="C27">
        <v>0.1333704977719922</v>
      </c>
      <c r="D27">
        <v>0.10909120111055889</v>
      </c>
      <c r="E27">
        <v>9.7305624059597029E-2</v>
      </c>
      <c r="F27">
        <v>9.0903439539650924E-2</v>
      </c>
      <c r="H27" s="1" t="s">
        <v>5</v>
      </c>
      <c r="I27" s="3">
        <f t="shared" si="1"/>
        <v>-6.7100393808931036E-3</v>
      </c>
      <c r="J27" s="3">
        <f t="shared" si="2"/>
        <v>-8.2415707902355455E-3</v>
      </c>
      <c r="K27" s="3">
        <f t="shared" si="3"/>
        <v>-9.9030874012313291E-3</v>
      </c>
      <c r="L27" s="3">
        <f t="shared" si="4"/>
        <v>-1.0990557090431168E-2</v>
      </c>
      <c r="M27" s="3">
        <f t="shared" si="5"/>
        <v>-1.1663205201357288E-2</v>
      </c>
    </row>
    <row r="28" spans="1:13" x14ac:dyDescent="0.2">
      <c r="A28" s="1" t="s">
        <v>6</v>
      </c>
      <c r="B28">
        <v>0.20810500880005259</v>
      </c>
      <c r="C28">
        <v>0.17512662587864489</v>
      </c>
      <c r="D28">
        <v>0.15426406284267449</v>
      </c>
      <c r="E28">
        <v>0.14598549318638709</v>
      </c>
      <c r="F28">
        <v>0.14133960182724489</v>
      </c>
      <c r="H28" s="1" t="s">
        <v>6</v>
      </c>
      <c r="I28" s="3">
        <f t="shared" si="1"/>
        <v>-6.8494278979429786E-3</v>
      </c>
      <c r="J28" s="3">
        <f t="shared" si="2"/>
        <v>-8.0274383683521158E-3</v>
      </c>
      <c r="K28" s="3">
        <f t="shared" si="3"/>
        <v>-8.9839716323119531E-3</v>
      </c>
      <c r="L28" s="3">
        <f t="shared" si="4"/>
        <v>-9.4203065704841875E-3</v>
      </c>
      <c r="M28" s="3">
        <f t="shared" si="5"/>
        <v>-9.6743724734046077E-3</v>
      </c>
    </row>
    <row r="29" spans="1:13" x14ac:dyDescent="0.2">
      <c r="A29" s="1" t="s">
        <v>7</v>
      </c>
      <c r="B29">
        <v>2.5323927211237669E-2</v>
      </c>
      <c r="C29">
        <v>2.5323927211237669E-2</v>
      </c>
      <c r="D29">
        <v>2.5323927211237659E-2</v>
      </c>
      <c r="E29">
        <v>2.5323927211237659E-2</v>
      </c>
      <c r="F29">
        <v>2.5323927211237659E-2</v>
      </c>
      <c r="H29" s="1" t="s">
        <v>7</v>
      </c>
      <c r="I29" s="4">
        <f t="shared" si="1"/>
        <v>-9.970607446113619E-2</v>
      </c>
      <c r="J29" s="4">
        <f t="shared" si="2"/>
        <v>-9.970607446113619E-2</v>
      </c>
      <c r="K29" s="4">
        <f t="shared" si="3"/>
        <v>-9.9706074461136232E-2</v>
      </c>
      <c r="L29" s="4">
        <f t="shared" si="4"/>
        <v>-9.9706074461136232E-2</v>
      </c>
      <c r="M29" s="4">
        <f t="shared" si="5"/>
        <v>-9.9706074461136232E-2</v>
      </c>
    </row>
    <row r="30" spans="1:13" x14ac:dyDescent="0.2">
      <c r="A30" s="1" t="s">
        <v>8</v>
      </c>
      <c r="B30">
        <v>7.2072072072072071E-2</v>
      </c>
      <c r="C30">
        <v>7.2072072072072071E-2</v>
      </c>
      <c r="D30">
        <v>7.2072072072072071E-2</v>
      </c>
      <c r="E30">
        <v>7.2072072072072071E-2</v>
      </c>
      <c r="F30">
        <v>7.2072072072072071E-2</v>
      </c>
      <c r="H30" s="1" t="s">
        <v>8</v>
      </c>
      <c r="I30" s="3">
        <f t="shared" si="1"/>
        <v>0</v>
      </c>
      <c r="J30" s="3">
        <f t="shared" si="2"/>
        <v>0</v>
      </c>
      <c r="K30" s="3">
        <f t="shared" si="3"/>
        <v>0</v>
      </c>
      <c r="L30" s="3">
        <f t="shared" si="4"/>
        <v>0</v>
      </c>
      <c r="M30" s="3">
        <f t="shared" si="5"/>
        <v>0</v>
      </c>
    </row>
    <row r="31" spans="1:13" x14ac:dyDescent="0.2">
      <c r="A31" s="1" t="s">
        <v>9</v>
      </c>
      <c r="B31">
        <v>0</v>
      </c>
      <c r="C31">
        <v>0</v>
      </c>
      <c r="D31">
        <v>0</v>
      </c>
      <c r="E31">
        <v>0</v>
      </c>
      <c r="F31">
        <v>0</v>
      </c>
      <c r="H31" s="1" t="s">
        <v>9</v>
      </c>
      <c r="I31" s="3"/>
      <c r="J31" s="3"/>
      <c r="K31" s="3"/>
      <c r="L31" s="3"/>
      <c r="M31" s="3"/>
    </row>
    <row r="32" spans="1:13" x14ac:dyDescent="0.2">
      <c r="A32" s="1" t="s">
        <v>10</v>
      </c>
      <c r="B32">
        <v>0.41</v>
      </c>
      <c r="C32">
        <v>0.41</v>
      </c>
      <c r="D32">
        <v>0.41</v>
      </c>
      <c r="E32">
        <v>0.41</v>
      </c>
      <c r="F32">
        <v>0.41</v>
      </c>
      <c r="H32" s="1" t="s">
        <v>10</v>
      </c>
      <c r="I32" s="3">
        <f t="shared" si="1"/>
        <v>0</v>
      </c>
      <c r="J32" s="3">
        <f t="shared" si="2"/>
        <v>0</v>
      </c>
      <c r="K32" s="3">
        <f t="shared" si="3"/>
        <v>0</v>
      </c>
      <c r="L32" s="3">
        <f t="shared" si="4"/>
        <v>0</v>
      </c>
      <c r="M32" s="3">
        <f t="shared" si="5"/>
        <v>0</v>
      </c>
    </row>
    <row r="33" spans="1:13" x14ac:dyDescent="0.2">
      <c r="A33" s="1" t="s">
        <v>11</v>
      </c>
      <c r="B33">
        <v>7.5830999999999996E-2</v>
      </c>
      <c r="C33">
        <v>3.7915499999999998E-2</v>
      </c>
      <c r="D33">
        <v>1.5166199999999999E-2</v>
      </c>
      <c r="E33">
        <v>7.5830999999999997E-3</v>
      </c>
      <c r="F33">
        <v>3.7915499999999999E-3</v>
      </c>
      <c r="H33" s="1" t="s">
        <v>11</v>
      </c>
      <c r="I33" s="3">
        <f t="shared" si="1"/>
        <v>0</v>
      </c>
      <c r="J33" s="3">
        <f t="shared" si="2"/>
        <v>0</v>
      </c>
      <c r="K33" s="3">
        <f t="shared" si="3"/>
        <v>0</v>
      </c>
      <c r="L33" s="3">
        <f t="shared" si="4"/>
        <v>0</v>
      </c>
      <c r="M33" s="3">
        <f t="shared" si="5"/>
        <v>0</v>
      </c>
    </row>
    <row r="34" spans="1:13" x14ac:dyDescent="0.2">
      <c r="A34" s="1" t="s">
        <v>12</v>
      </c>
      <c r="B34">
        <v>6.6888367382353875E-2</v>
      </c>
      <c r="C34">
        <v>5.9547074740769868E-2</v>
      </c>
      <c r="D34">
        <v>5.3412595923765939E-2</v>
      </c>
      <c r="E34">
        <v>5.0024765963008908E-2</v>
      </c>
      <c r="F34">
        <v>4.8240659631588051E-2</v>
      </c>
      <c r="H34" s="1" t="s">
        <v>12</v>
      </c>
      <c r="I34" s="3">
        <f t="shared" si="1"/>
        <v>-4.4551911677310546E-3</v>
      </c>
      <c r="J34" s="3">
        <f t="shared" si="2"/>
        <v>-4.9180290412808832E-3</v>
      </c>
      <c r="K34" s="3">
        <f t="shared" si="3"/>
        <v>-5.3970777032193839E-3</v>
      </c>
      <c r="L34" s="3">
        <f t="shared" si="4"/>
        <v>-5.7160045211037333E-3</v>
      </c>
      <c r="M34" s="3">
        <f t="shared" si="5"/>
        <v>-5.8935494861477814E-3</v>
      </c>
    </row>
    <row r="35" spans="1:13" x14ac:dyDescent="0.2">
      <c r="A35" s="1" t="s">
        <v>13</v>
      </c>
      <c r="B35">
        <v>0.17003122012012339</v>
      </c>
      <c r="C35">
        <v>0.13836572849485981</v>
      </c>
      <c r="D35">
        <v>0.1193664335197016</v>
      </c>
      <c r="E35">
        <v>0.1130333351946488</v>
      </c>
      <c r="F35">
        <v>0.10986678603212249</v>
      </c>
      <c r="H35" s="1" t="s">
        <v>13</v>
      </c>
      <c r="I35" s="3">
        <f t="shared" si="1"/>
        <v>-6.4422950117259143E-3</v>
      </c>
      <c r="J35" s="3">
        <f t="shared" si="2"/>
        <v>-7.9049826066431329E-3</v>
      </c>
      <c r="K35" s="3">
        <f t="shared" si="3"/>
        <v>-9.1516866287418164E-3</v>
      </c>
      <c r="L35" s="3">
        <f t="shared" si="4"/>
        <v>-9.6594897588715319E-3</v>
      </c>
      <c r="M35" s="3">
        <f t="shared" si="5"/>
        <v>-9.9351268471965185E-3</v>
      </c>
    </row>
    <row r="36" spans="1:13" x14ac:dyDescent="0.2">
      <c r="A36" s="1" t="s">
        <v>14</v>
      </c>
      <c r="B36">
        <v>2.330919689719237</v>
      </c>
      <c r="C36">
        <v>1.9888179318866921</v>
      </c>
      <c r="D36">
        <v>1.7306686142147829</v>
      </c>
      <c r="E36">
        <v>1.6022228840240651</v>
      </c>
      <c r="F36">
        <v>1.534343379433639</v>
      </c>
      <c r="H36" s="1" t="s">
        <v>14</v>
      </c>
      <c r="I36" s="3">
        <f t="shared" si="1"/>
        <v>-4.5912136973014694E-3</v>
      </c>
      <c r="J36" s="3">
        <f t="shared" si="2"/>
        <v>-5.2906593425220234E-3</v>
      </c>
      <c r="K36" s="3">
        <f t="shared" si="3"/>
        <v>-5.9835782517111821E-3</v>
      </c>
      <c r="L36" s="3">
        <f t="shared" si="4"/>
        <v>-6.4087386259552813E-3</v>
      </c>
      <c r="M36" s="3">
        <f t="shared" si="5"/>
        <v>-6.6505113663184682E-3</v>
      </c>
    </row>
    <row r="37" spans="1:13" x14ac:dyDescent="0.2">
      <c r="A37" s="1" t="s">
        <v>15</v>
      </c>
      <c r="B37">
        <v>0</v>
      </c>
      <c r="C37">
        <v>0</v>
      </c>
      <c r="D37">
        <v>0</v>
      </c>
      <c r="E37">
        <v>0</v>
      </c>
      <c r="F37">
        <v>0</v>
      </c>
      <c r="H37" s="1" t="s">
        <v>15</v>
      </c>
      <c r="I37" s="3"/>
      <c r="J37" s="3"/>
      <c r="K37" s="3"/>
      <c r="L37" s="3"/>
      <c r="M37" s="3"/>
    </row>
  </sheetData>
  <mergeCells count="1">
    <mergeCell ref="B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/>
  </sheetViews>
  <sheetFormatPr baseColWidth="10" defaultColWidth="8.83203125" defaultRowHeight="15" x14ac:dyDescent="0.2"/>
  <sheetData>
    <row r="1" spans="1:2" x14ac:dyDescent="0.2">
      <c r="B1" s="1" t="s">
        <v>16</v>
      </c>
    </row>
    <row r="2" spans="1:2" x14ac:dyDescent="0.2">
      <c r="A2" s="1" t="s">
        <v>10</v>
      </c>
      <c r="B2">
        <v>0.41</v>
      </c>
    </row>
    <row r="3" spans="1:2" x14ac:dyDescent="0.2">
      <c r="A3" s="1" t="s">
        <v>8</v>
      </c>
      <c r="B3">
        <v>7.2072072072072071E-2</v>
      </c>
    </row>
    <row r="4" spans="1:2" x14ac:dyDescent="0.2">
      <c r="A4" s="1" t="s">
        <v>13</v>
      </c>
      <c r="B4">
        <v>0.17113371399211291</v>
      </c>
    </row>
    <row r="5" spans="1:2" x14ac:dyDescent="0.2">
      <c r="A5" s="1" t="s">
        <v>4</v>
      </c>
      <c r="B5">
        <v>0.41643989827496858</v>
      </c>
    </row>
    <row r="6" spans="1:2" x14ac:dyDescent="0.2">
      <c r="A6" s="1" t="s">
        <v>6</v>
      </c>
      <c r="B6">
        <v>0.20954023956265469</v>
      </c>
    </row>
    <row r="7" spans="1:2" x14ac:dyDescent="0.2">
      <c r="A7" s="1" t="s">
        <v>5</v>
      </c>
      <c r="B7">
        <v>0.16773679275217329</v>
      </c>
    </row>
    <row r="8" spans="1:2" x14ac:dyDescent="0.2">
      <c r="A8" s="1" t="s">
        <v>9</v>
      </c>
      <c r="B8">
        <v>0</v>
      </c>
    </row>
    <row r="9" spans="1:2" x14ac:dyDescent="0.2">
      <c r="A9" s="1" t="s">
        <v>11</v>
      </c>
      <c r="B9">
        <v>7.5830999999999996E-2</v>
      </c>
    </row>
    <row r="10" spans="1:2" x14ac:dyDescent="0.2">
      <c r="A10" s="1" t="s">
        <v>7</v>
      </c>
      <c r="B10">
        <v>2.812851058178609E-2</v>
      </c>
    </row>
    <row r="11" spans="1:2" x14ac:dyDescent="0.2">
      <c r="A11" s="1" t="s">
        <v>15</v>
      </c>
      <c r="B11">
        <v>0</v>
      </c>
    </row>
    <row r="12" spans="1:2" x14ac:dyDescent="0.2">
      <c r="A12" s="1" t="s">
        <v>1</v>
      </c>
      <c r="B12">
        <v>6.4722797146885641E-2</v>
      </c>
    </row>
    <row r="13" spans="1:2" x14ac:dyDescent="0.2">
      <c r="A13" s="1" t="s">
        <v>12</v>
      </c>
      <c r="B13">
        <v>6.7187701436373357E-2</v>
      </c>
    </row>
    <row r="14" spans="1:2" x14ac:dyDescent="0.2">
      <c r="A14" s="1" t="s">
        <v>2</v>
      </c>
      <c r="B14">
        <v>0.48542097860164241</v>
      </c>
    </row>
    <row r="15" spans="1:2" x14ac:dyDescent="0.2">
      <c r="A15" s="1" t="s">
        <v>3</v>
      </c>
      <c r="B15">
        <v>0.1734570963536535</v>
      </c>
    </row>
    <row r="16" spans="1:2" x14ac:dyDescent="0.2">
      <c r="A16" s="1" t="s">
        <v>14</v>
      </c>
      <c r="B16">
        <v>2.341670800774323</v>
      </c>
    </row>
    <row r="17" spans="1:2" x14ac:dyDescent="0.2">
      <c r="A17" s="1" t="s">
        <v>17</v>
      </c>
      <c r="B17">
        <v>27124.536615555091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7"/>
  <sheetViews>
    <sheetView workbookViewId="0"/>
  </sheetViews>
  <sheetFormatPr baseColWidth="10" defaultColWidth="8.83203125" defaultRowHeight="15" x14ac:dyDescent="0.2"/>
  <sheetData>
    <row r="1" spans="1:2" x14ac:dyDescent="0.2">
      <c r="B1" s="1" t="s">
        <v>16</v>
      </c>
    </row>
    <row r="2" spans="1:2" x14ac:dyDescent="0.2">
      <c r="A2" s="1" t="s">
        <v>10</v>
      </c>
      <c r="B2">
        <v>0.41</v>
      </c>
    </row>
    <row r="3" spans="1:2" x14ac:dyDescent="0.2">
      <c r="A3" s="1" t="s">
        <v>8</v>
      </c>
      <c r="B3">
        <v>7.2072072072072071E-2</v>
      </c>
    </row>
    <row r="4" spans="1:2" x14ac:dyDescent="0.2">
      <c r="A4" s="1" t="s">
        <v>13</v>
      </c>
      <c r="B4">
        <v>0.13946822236684919</v>
      </c>
    </row>
    <row r="5" spans="1:2" x14ac:dyDescent="0.2">
      <c r="A5" s="1" t="s">
        <v>4</v>
      </c>
      <c r="B5">
        <v>0.32311335813258479</v>
      </c>
    </row>
    <row r="6" spans="1:2" x14ac:dyDescent="0.2">
      <c r="A6" s="1" t="s">
        <v>6</v>
      </c>
      <c r="B6">
        <v>0.17654382051715981</v>
      </c>
    </row>
    <row r="7" spans="1:2" x14ac:dyDescent="0.2">
      <c r="A7" s="1" t="s">
        <v>5</v>
      </c>
      <c r="B7">
        <v>0.1344788144409946</v>
      </c>
    </row>
    <row r="8" spans="1:2" x14ac:dyDescent="0.2">
      <c r="A8" s="1" t="s">
        <v>9</v>
      </c>
      <c r="B8">
        <v>0</v>
      </c>
    </row>
    <row r="9" spans="1:2" x14ac:dyDescent="0.2">
      <c r="A9" s="1" t="s">
        <v>11</v>
      </c>
      <c r="B9">
        <v>3.7915499999999998E-2</v>
      </c>
    </row>
    <row r="10" spans="1:2" x14ac:dyDescent="0.2">
      <c r="A10" s="1" t="s">
        <v>7</v>
      </c>
      <c r="B10">
        <v>2.812851058178609E-2</v>
      </c>
    </row>
    <row r="11" spans="1:2" x14ac:dyDescent="0.2">
      <c r="A11" s="1" t="s">
        <v>15</v>
      </c>
      <c r="B11">
        <v>0</v>
      </c>
    </row>
    <row r="12" spans="1:2" x14ac:dyDescent="0.2">
      <c r="A12" s="1" t="s">
        <v>1</v>
      </c>
      <c r="B12">
        <v>5.5262466979162497E-2</v>
      </c>
    </row>
    <row r="13" spans="1:2" x14ac:dyDescent="0.2">
      <c r="A13" s="1" t="s">
        <v>12</v>
      </c>
      <c r="B13">
        <v>5.9841376367616023E-2</v>
      </c>
    </row>
    <row r="14" spans="1:2" x14ac:dyDescent="0.2">
      <c r="A14" s="1" t="s">
        <v>2</v>
      </c>
      <c r="B14">
        <v>0.41446850234371868</v>
      </c>
    </row>
    <row r="15" spans="1:2" x14ac:dyDescent="0.2">
      <c r="A15" s="1" t="s">
        <v>3</v>
      </c>
      <c r="B15">
        <v>0.14810341150415551</v>
      </c>
    </row>
    <row r="16" spans="1:2" x14ac:dyDescent="0.2">
      <c r="A16" s="1" t="s">
        <v>14</v>
      </c>
      <c r="B16">
        <v>1.999396055306099</v>
      </c>
    </row>
    <row r="17" spans="1:2" x14ac:dyDescent="0.2">
      <c r="A17" s="1" t="s">
        <v>17</v>
      </c>
      <c r="B17">
        <v>27124.536615555091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7"/>
  <sheetViews>
    <sheetView workbookViewId="0"/>
  </sheetViews>
  <sheetFormatPr baseColWidth="10" defaultColWidth="8.83203125" defaultRowHeight="15" x14ac:dyDescent="0.2"/>
  <sheetData>
    <row r="1" spans="1:2" x14ac:dyDescent="0.2">
      <c r="B1" s="1" t="s">
        <v>16</v>
      </c>
    </row>
    <row r="2" spans="1:2" x14ac:dyDescent="0.2">
      <c r="A2" s="1" t="s">
        <v>10</v>
      </c>
      <c r="B2">
        <v>0.41</v>
      </c>
    </row>
    <row r="3" spans="1:2" x14ac:dyDescent="0.2">
      <c r="A3" s="1" t="s">
        <v>8</v>
      </c>
      <c r="B3">
        <v>7.2072072072072071E-2</v>
      </c>
    </row>
    <row r="4" spans="1:2" x14ac:dyDescent="0.2">
      <c r="A4" s="1" t="s">
        <v>13</v>
      </c>
      <c r="B4">
        <v>0.120468927391691</v>
      </c>
    </row>
    <row r="5" spans="1:2" x14ac:dyDescent="0.2">
      <c r="A5" s="1" t="s">
        <v>4</v>
      </c>
      <c r="B5">
        <v>0.23768949437978679</v>
      </c>
    </row>
    <row r="6" spans="1:2" x14ac:dyDescent="0.2">
      <c r="A6" s="1" t="s">
        <v>6</v>
      </c>
      <c r="B6">
        <v>0.15566253060181509</v>
      </c>
    </row>
    <row r="7" spans="1:2" x14ac:dyDescent="0.2">
      <c r="A7" s="1" t="s">
        <v>5</v>
      </c>
      <c r="B7">
        <v>0.1101823465182014</v>
      </c>
    </row>
    <row r="8" spans="1:2" x14ac:dyDescent="0.2">
      <c r="A8" s="1" t="s">
        <v>9</v>
      </c>
      <c r="B8">
        <v>0</v>
      </c>
    </row>
    <row r="9" spans="1:2" x14ac:dyDescent="0.2">
      <c r="A9" s="1" t="s">
        <v>11</v>
      </c>
      <c r="B9">
        <v>1.5166199999999999E-2</v>
      </c>
    </row>
    <row r="10" spans="1:2" x14ac:dyDescent="0.2">
      <c r="A10" s="1" t="s">
        <v>7</v>
      </c>
      <c r="B10">
        <v>2.812851058178609E-2</v>
      </c>
    </row>
    <row r="11" spans="1:2" x14ac:dyDescent="0.2">
      <c r="A11" s="1" t="s">
        <v>15</v>
      </c>
      <c r="B11">
        <v>0</v>
      </c>
    </row>
    <row r="12" spans="1:2" x14ac:dyDescent="0.2">
      <c r="A12" s="1" t="s">
        <v>1</v>
      </c>
      <c r="B12">
        <v>4.8122900546725467E-2</v>
      </c>
    </row>
    <row r="13" spans="1:2" x14ac:dyDescent="0.2">
      <c r="A13" s="1" t="s">
        <v>12</v>
      </c>
      <c r="B13">
        <v>5.3702432122784471E-2</v>
      </c>
    </row>
    <row r="14" spans="1:2" x14ac:dyDescent="0.2">
      <c r="A14" s="1" t="s">
        <v>2</v>
      </c>
      <c r="B14">
        <v>0.36092175410044108</v>
      </c>
    </row>
    <row r="15" spans="1:2" x14ac:dyDescent="0.2">
      <c r="A15" s="1" t="s">
        <v>3</v>
      </c>
      <c r="B15">
        <v>0.1289693734652243</v>
      </c>
    </row>
    <row r="16" spans="1:2" x14ac:dyDescent="0.2">
      <c r="A16" s="1" t="s">
        <v>14</v>
      </c>
      <c r="B16">
        <v>1.7410865417805279</v>
      </c>
    </row>
    <row r="17" spans="1:2" x14ac:dyDescent="0.2">
      <c r="A17" s="1" t="s">
        <v>17</v>
      </c>
      <c r="B17">
        <v>27124.536615555091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7"/>
  <sheetViews>
    <sheetView workbookViewId="0"/>
  </sheetViews>
  <sheetFormatPr baseColWidth="10" defaultColWidth="8.83203125" defaultRowHeight="15" x14ac:dyDescent="0.2"/>
  <sheetData>
    <row r="1" spans="1:2" x14ac:dyDescent="0.2">
      <c r="B1" s="1" t="s">
        <v>16</v>
      </c>
    </row>
    <row r="2" spans="1:2" x14ac:dyDescent="0.2">
      <c r="A2" s="1" t="s">
        <v>10</v>
      </c>
      <c r="B2">
        <v>0.41</v>
      </c>
    </row>
    <row r="3" spans="1:2" x14ac:dyDescent="0.2">
      <c r="A3" s="1" t="s">
        <v>8</v>
      </c>
      <c r="B3">
        <v>7.2072072072072071E-2</v>
      </c>
    </row>
    <row r="4" spans="1:2" x14ac:dyDescent="0.2">
      <c r="A4" s="1" t="s">
        <v>13</v>
      </c>
      <c r="B4">
        <v>0.1141358290666383</v>
      </c>
    </row>
    <row r="5" spans="1:2" x14ac:dyDescent="0.2">
      <c r="A5" s="1" t="s">
        <v>4</v>
      </c>
      <c r="B5">
        <v>0.1862675726104783</v>
      </c>
    </row>
    <row r="6" spans="1:2" x14ac:dyDescent="0.2">
      <c r="A6" s="1" t="s">
        <v>6</v>
      </c>
      <c r="B6">
        <v>0.14737379955868701</v>
      </c>
    </row>
    <row r="7" spans="1:2" x14ac:dyDescent="0.2">
      <c r="A7" s="1" t="s">
        <v>5</v>
      </c>
      <c r="B7">
        <v>9.8386951466644654E-2</v>
      </c>
    </row>
    <row r="8" spans="1:2" x14ac:dyDescent="0.2">
      <c r="A8" s="1" t="s">
        <v>9</v>
      </c>
      <c r="B8">
        <v>0</v>
      </c>
    </row>
    <row r="9" spans="1:2" x14ac:dyDescent="0.2">
      <c r="A9" s="1" t="s">
        <v>11</v>
      </c>
      <c r="B9">
        <v>7.5830999999999997E-3</v>
      </c>
    </row>
    <row r="10" spans="1:2" x14ac:dyDescent="0.2">
      <c r="A10" s="1" t="s">
        <v>7</v>
      </c>
      <c r="B10">
        <v>2.812851058178609E-2</v>
      </c>
    </row>
    <row r="11" spans="1:2" x14ac:dyDescent="0.2">
      <c r="A11" s="1" t="s">
        <v>15</v>
      </c>
      <c r="B11">
        <v>0</v>
      </c>
    </row>
    <row r="12" spans="1:2" x14ac:dyDescent="0.2">
      <c r="A12" s="1" t="s">
        <v>1</v>
      </c>
      <c r="B12">
        <v>4.4570407477939347E-2</v>
      </c>
    </row>
    <row r="13" spans="1:2" x14ac:dyDescent="0.2">
      <c r="A13" s="1" t="s">
        <v>12</v>
      </c>
      <c r="B13">
        <v>5.0312351592177153E-2</v>
      </c>
    </row>
    <row r="14" spans="1:2" x14ac:dyDescent="0.2">
      <c r="A14" s="1" t="s">
        <v>2</v>
      </c>
      <c r="B14">
        <v>0.33427805608454508</v>
      </c>
    </row>
    <row r="15" spans="1:2" x14ac:dyDescent="0.2">
      <c r="A15" s="1" t="s">
        <v>3</v>
      </c>
      <c r="B15">
        <v>0.11944869204087739</v>
      </c>
    </row>
    <row r="16" spans="1:2" x14ac:dyDescent="0.2">
      <c r="A16" s="1" t="s">
        <v>14</v>
      </c>
      <c r="B16">
        <v>1.6125573425518449</v>
      </c>
    </row>
    <row r="17" spans="1:2" x14ac:dyDescent="0.2">
      <c r="A17" s="1" t="s">
        <v>17</v>
      </c>
      <c r="B17">
        <v>27124.536615555091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7"/>
  <sheetViews>
    <sheetView workbookViewId="0"/>
  </sheetViews>
  <sheetFormatPr baseColWidth="10" defaultColWidth="8.83203125" defaultRowHeight="15" x14ac:dyDescent="0.2"/>
  <sheetData>
    <row r="1" spans="1:2" x14ac:dyDescent="0.2">
      <c r="B1" s="1" t="s">
        <v>16</v>
      </c>
    </row>
    <row r="2" spans="1:2" x14ac:dyDescent="0.2">
      <c r="A2" s="1" t="s">
        <v>10</v>
      </c>
      <c r="B2">
        <v>0.41</v>
      </c>
    </row>
    <row r="3" spans="1:2" x14ac:dyDescent="0.2">
      <c r="A3" s="1" t="s">
        <v>8</v>
      </c>
      <c r="B3">
        <v>7.2072072072072071E-2</v>
      </c>
    </row>
    <row r="4" spans="1:2" x14ac:dyDescent="0.2">
      <c r="A4" s="1" t="s">
        <v>13</v>
      </c>
      <c r="B4">
        <v>0.1109692799041119</v>
      </c>
    </row>
    <row r="5" spans="1:2" x14ac:dyDescent="0.2">
      <c r="A5" s="1" t="s">
        <v>4</v>
      </c>
      <c r="B5">
        <v>0.1591287649539225</v>
      </c>
    </row>
    <row r="6" spans="1:2" x14ac:dyDescent="0.2">
      <c r="A6" s="1" t="s">
        <v>6</v>
      </c>
      <c r="B6">
        <v>0.14272033147344679</v>
      </c>
    </row>
    <row r="7" spans="1:2" x14ac:dyDescent="0.2">
      <c r="A7" s="1" t="s">
        <v>5</v>
      </c>
      <c r="B7">
        <v>9.1976176560512449E-2</v>
      </c>
    </row>
    <row r="8" spans="1:2" x14ac:dyDescent="0.2">
      <c r="A8" s="1" t="s">
        <v>9</v>
      </c>
      <c r="B8">
        <v>0</v>
      </c>
    </row>
    <row r="9" spans="1:2" x14ac:dyDescent="0.2">
      <c r="A9" s="1" t="s">
        <v>11</v>
      </c>
      <c r="B9">
        <v>3.7915499999999999E-3</v>
      </c>
    </row>
    <row r="10" spans="1:2" x14ac:dyDescent="0.2">
      <c r="A10" s="1" t="s">
        <v>7</v>
      </c>
      <c r="B10">
        <v>2.812851058178609E-2</v>
      </c>
    </row>
    <row r="11" spans="1:2" x14ac:dyDescent="0.2">
      <c r="A11" s="1" t="s">
        <v>15</v>
      </c>
      <c r="B11">
        <v>0</v>
      </c>
    </row>
    <row r="12" spans="1:2" x14ac:dyDescent="0.2">
      <c r="A12" s="1" t="s">
        <v>1</v>
      </c>
      <c r="B12">
        <v>4.2692533576536233E-2</v>
      </c>
    </row>
    <row r="13" spans="1:2" x14ac:dyDescent="0.2">
      <c r="A13" s="1" t="s">
        <v>12</v>
      </c>
      <c r="B13">
        <v>4.8526653867553643E-2</v>
      </c>
    </row>
    <row r="14" spans="1:2" x14ac:dyDescent="0.2">
      <c r="A14" s="1" t="s">
        <v>2</v>
      </c>
      <c r="B14">
        <v>0.32019400182402169</v>
      </c>
    </row>
    <row r="15" spans="1:2" x14ac:dyDescent="0.2">
      <c r="A15" s="1" t="s">
        <v>3</v>
      </c>
      <c r="B15">
        <v>0.11441598998511709</v>
      </c>
    </row>
    <row r="16" spans="1:2" x14ac:dyDescent="0.2">
      <c r="A16" s="1" t="s">
        <v>14</v>
      </c>
      <c r="B16">
        <v>1.5446158647990811</v>
      </c>
    </row>
    <row r="17" spans="1:2" x14ac:dyDescent="0.2">
      <c r="A17" s="1" t="s">
        <v>17</v>
      </c>
      <c r="B17">
        <v>27124.536615555091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 Weighted Average Results</vt:lpstr>
      <vt:lpstr>Fixed-Tilt 0.1 MW</vt:lpstr>
      <vt:lpstr>Fixed-Tilt 0.2 MW</vt:lpstr>
      <vt:lpstr>Fixed-Tilt 0.5 MW</vt:lpstr>
      <vt:lpstr>Fixed-Tilt 1 MW</vt:lpstr>
      <vt:lpstr>Fixed-Tilt 2 MW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2020-08-13T22:01:59Z</dcterms:created>
  <dcterms:modified xsi:type="dcterms:W3CDTF">2021-03-22T16:42:07Z</dcterms:modified>
</cp:coreProperties>
</file>