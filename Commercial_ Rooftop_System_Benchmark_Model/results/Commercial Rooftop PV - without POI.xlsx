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ramasam/Desktop/system_cost_models/2021/pv_benchmark/Commercial_ Rooftop_System_Benchmark_Model/results/"/>
    </mc:Choice>
  </mc:AlternateContent>
  <xr:revisionPtr revIDLastSave="0" documentId="13_ncr:1_{3AD80044-9E89-9B47-856C-03EC699BDFD4}" xr6:coauthVersionLast="46" xr6:coauthVersionMax="46" xr10:uidLastSave="{00000000-0000-0000-0000-000000000000}"/>
  <bookViews>
    <workbookView xWindow="240" yWindow="460" windowWidth="16100" windowHeight="9660" xr2:uid="{00000000-000D-0000-FFFF-FFFF00000000}"/>
  </bookViews>
  <sheets>
    <sheet name="US Weighted Average Results" sheetId="1" r:id="rId1"/>
    <sheet name="0.1 MW" sheetId="2" r:id="rId2"/>
    <sheet name="0.2 MW" sheetId="3" r:id="rId3"/>
    <sheet name="0.5 MW" sheetId="4" r:id="rId4"/>
    <sheet name="1 MW" sheetId="5" r:id="rId5"/>
    <sheet name="2 MW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8" i="1" l="1"/>
  <c r="J18" i="1"/>
  <c r="K18" i="1"/>
  <c r="L18" i="1"/>
  <c r="M18" i="1"/>
  <c r="I19" i="1"/>
  <c r="J19" i="1"/>
  <c r="K19" i="1"/>
  <c r="L19" i="1"/>
  <c r="M19" i="1"/>
  <c r="I20" i="1"/>
  <c r="J20" i="1"/>
  <c r="K20" i="1"/>
  <c r="L20" i="1"/>
  <c r="M20" i="1"/>
  <c r="I21" i="1"/>
  <c r="J21" i="1"/>
  <c r="K21" i="1"/>
  <c r="L21" i="1"/>
  <c r="M21" i="1"/>
  <c r="I22" i="1"/>
  <c r="J22" i="1"/>
  <c r="K22" i="1"/>
  <c r="L22" i="1"/>
  <c r="M22" i="1"/>
  <c r="I24" i="1"/>
  <c r="J24" i="1"/>
  <c r="K24" i="1"/>
  <c r="L24" i="1"/>
  <c r="M24" i="1"/>
  <c r="I25" i="1"/>
  <c r="J25" i="1"/>
  <c r="K25" i="1"/>
  <c r="L25" i="1"/>
  <c r="M25" i="1"/>
  <c r="I26" i="1"/>
  <c r="J26" i="1"/>
  <c r="K26" i="1"/>
  <c r="L26" i="1"/>
  <c r="M26" i="1"/>
  <c r="I27" i="1"/>
  <c r="J27" i="1"/>
  <c r="K27" i="1"/>
  <c r="L27" i="1"/>
  <c r="M27" i="1"/>
  <c r="I28" i="1"/>
  <c r="J28" i="1"/>
  <c r="K28" i="1"/>
  <c r="L28" i="1"/>
  <c r="M28" i="1"/>
  <c r="I29" i="1"/>
  <c r="J29" i="1"/>
  <c r="K29" i="1"/>
  <c r="L29" i="1"/>
  <c r="M29" i="1"/>
  <c r="J17" i="1"/>
  <c r="K17" i="1"/>
  <c r="L17" i="1"/>
  <c r="M17" i="1"/>
  <c r="I17" i="1"/>
</calcChain>
</file>

<file path=xl/sharedStrings.xml><?xml version="1.0" encoding="utf-8"?>
<sst xmlns="http://schemas.openxmlformats.org/spreadsheetml/2006/main" count="129" uniqueCount="20">
  <si>
    <t>0.1 MW</t>
  </si>
  <si>
    <t>0.2 MW</t>
  </si>
  <si>
    <t>0.5 MW</t>
  </si>
  <si>
    <t>1 MW</t>
  </si>
  <si>
    <t>2 MW</t>
  </si>
  <si>
    <t>Module</t>
  </si>
  <si>
    <t>Inverter Only</t>
  </si>
  <si>
    <t>Structural BOS</t>
  </si>
  <si>
    <t>Electrical BOS</t>
  </si>
  <si>
    <t>Install Labor &amp; Equipment</t>
  </si>
  <si>
    <t>Epc Overhead</t>
  </si>
  <si>
    <t>Land Acquisition</t>
  </si>
  <si>
    <t>Permitting &amp; Interconnection</t>
  </si>
  <si>
    <t>Sale Tax (if any)</t>
  </si>
  <si>
    <t>Contingency (4%)</t>
  </si>
  <si>
    <t>Developer Overhead</t>
  </si>
  <si>
    <t>EPC/Developer Net Profit</t>
  </si>
  <si>
    <t>Total System Cost</t>
  </si>
  <si>
    <t>United States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</si>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</sst>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1" applyNumberFormat="1" applyFont="1"/>
    <xf numFmtId="10" fontId="0" fillId="2" borderId="0" xfId="1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abSelected="1" topLeftCell="A14" workbookViewId="0">
      <selection activeCell="I24" sqref="I24:M24"/>
    </sheetView>
  </sheetViews>
  <sheetFormatPr baseColWidth="10" defaultColWidth="8.83203125" defaultRowHeight="15" x14ac:dyDescent="0.2"/>
  <cols>
    <col min="1" max="1" width="24.5" bestFit="1" customWidth="1"/>
  </cols>
  <sheetData>
    <row r="1" spans="1:13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13" x14ac:dyDescent="0.2">
      <c r="A2" s="1" t="s">
        <v>5</v>
      </c>
      <c r="B2">
        <v>0.41</v>
      </c>
      <c r="C2">
        <v>0.41</v>
      </c>
      <c r="D2">
        <v>0.41</v>
      </c>
      <c r="E2">
        <v>0.41</v>
      </c>
      <c r="F2">
        <v>0.41</v>
      </c>
    </row>
    <row r="3" spans="1:13" x14ac:dyDescent="0.2">
      <c r="A3" s="1" t="s">
        <v>6</v>
      </c>
      <c r="B3">
        <v>0.2931034482758621</v>
      </c>
      <c r="C3">
        <v>0.2931034482758621</v>
      </c>
      <c r="D3">
        <v>0.2931034482758621</v>
      </c>
      <c r="E3">
        <v>0.2931034482758621</v>
      </c>
      <c r="F3">
        <v>0.2931034482758621</v>
      </c>
    </row>
    <row r="4" spans="1:13" x14ac:dyDescent="0.2">
      <c r="A4" s="1" t="s">
        <v>7</v>
      </c>
      <c r="B4">
        <v>0.11207658305970029</v>
      </c>
      <c r="C4">
        <v>0.11207658305970029</v>
      </c>
      <c r="D4">
        <v>0.11207658305970029</v>
      </c>
      <c r="E4">
        <v>0.11207658305970029</v>
      </c>
      <c r="F4">
        <v>0.11207658305970029</v>
      </c>
    </row>
    <row r="5" spans="1:13" x14ac:dyDescent="0.2">
      <c r="A5" s="1" t="s">
        <v>8</v>
      </c>
      <c r="B5">
        <v>0.1496546658693528</v>
      </c>
      <c r="C5">
        <v>0.13684845150647371</v>
      </c>
      <c r="D5">
        <v>0.1269205788090399</v>
      </c>
      <c r="E5">
        <v>0.1227362098062184</v>
      </c>
      <c r="F5">
        <v>0.12274462432995339</v>
      </c>
    </row>
    <row r="6" spans="1:13" x14ac:dyDescent="0.2">
      <c r="A6" s="1" t="s">
        <v>9</v>
      </c>
      <c r="B6">
        <v>0.19069150109553101</v>
      </c>
      <c r="C6">
        <v>0.15243669669051149</v>
      </c>
      <c r="D6">
        <v>0.1281569738689888</v>
      </c>
      <c r="E6">
        <v>0.1191791855427041</v>
      </c>
      <c r="F6">
        <v>0.1168418990788246</v>
      </c>
    </row>
    <row r="7" spans="1:13" x14ac:dyDescent="0.2">
      <c r="A7" s="1" t="s">
        <v>10</v>
      </c>
      <c r="B7">
        <v>0.18103042943912151</v>
      </c>
      <c r="C7">
        <v>0.1658404133062811</v>
      </c>
      <c r="D7">
        <v>0.15570317944018011</v>
      </c>
      <c r="E7">
        <v>0.1517155338621794</v>
      </c>
      <c r="F7">
        <v>0.15113571877454479</v>
      </c>
    </row>
    <row r="8" spans="1:13" x14ac:dyDescent="0.2">
      <c r="A8" s="1" t="s">
        <v>11</v>
      </c>
      <c r="B8">
        <v>0</v>
      </c>
      <c r="C8">
        <v>0</v>
      </c>
      <c r="D8">
        <v>0</v>
      </c>
      <c r="E8">
        <v>0</v>
      </c>
      <c r="F8">
        <v>0</v>
      </c>
    </row>
    <row r="9" spans="1:13" x14ac:dyDescent="0.2">
      <c r="A9" s="1" t="s">
        <v>12</v>
      </c>
      <c r="B9">
        <v>0.137132990713177</v>
      </c>
      <c r="C9">
        <v>0.1072972994762115</v>
      </c>
      <c r="D9">
        <v>8.9342287683905952E-2</v>
      </c>
      <c r="E9">
        <v>8.3348320812020565E-2</v>
      </c>
      <c r="F9">
        <v>8.0349653992758688E-2</v>
      </c>
    </row>
    <row r="10" spans="1:13" x14ac:dyDescent="0.2">
      <c r="A10" s="1" t="s">
        <v>13</v>
      </c>
      <c r="B10">
        <v>5.8245624792274658E-2</v>
      </c>
      <c r="C10">
        <v>5.6464841874695033E-2</v>
      </c>
      <c r="D10">
        <v>5.5264347056474233E-2</v>
      </c>
      <c r="E10">
        <v>5.4813115754680758E-2</v>
      </c>
      <c r="F10">
        <v>5.4716557670210157E-2</v>
      </c>
    </row>
    <row r="11" spans="1:13" x14ac:dyDescent="0.2">
      <c r="A11" s="1" t="s">
        <v>14</v>
      </c>
      <c r="B11">
        <v>5.5783415166708393E-2</v>
      </c>
      <c r="C11">
        <v>5.1868714804497021E-2</v>
      </c>
      <c r="D11">
        <v>4.9328701364673648E-2</v>
      </c>
      <c r="E11">
        <v>4.8384901321442228E-2</v>
      </c>
      <c r="F11">
        <v>4.8144744844181769E-2</v>
      </c>
    </row>
    <row r="12" spans="1:13" x14ac:dyDescent="0.2">
      <c r="A12" s="1" t="s">
        <v>15</v>
      </c>
      <c r="B12">
        <v>0.41837561375031279</v>
      </c>
      <c r="C12">
        <v>0.38901536103372769</v>
      </c>
      <c r="D12">
        <v>0.36996526023505238</v>
      </c>
      <c r="E12">
        <v>0.3628867599108167</v>
      </c>
      <c r="F12">
        <v>0.36108558633136317</v>
      </c>
    </row>
    <row r="13" spans="1:13" x14ac:dyDescent="0.2">
      <c r="A13" s="1" t="s">
        <v>16</v>
      </c>
      <c r="B13">
        <v>0.14042659905134289</v>
      </c>
      <c r="C13">
        <v>0.13124662670195719</v>
      </c>
      <c r="D13">
        <v>0.12529029518557139</v>
      </c>
      <c r="E13">
        <v>0.1230770840841937</v>
      </c>
      <c r="F13">
        <v>0.1225139171450179</v>
      </c>
    </row>
    <row r="14" spans="1:13" x14ac:dyDescent="0.2">
      <c r="A14" s="1" t="s">
        <v>17</v>
      </c>
      <c r="B14">
        <v>2.1465208712133839</v>
      </c>
      <c r="C14">
        <v>2.006198436729917</v>
      </c>
      <c r="D14">
        <v>1.9151516549794489</v>
      </c>
      <c r="E14">
        <v>1.881321142429818</v>
      </c>
      <c r="F14">
        <v>1.872712733502417</v>
      </c>
    </row>
    <row r="16" spans="1:13" x14ac:dyDescent="0.2">
      <c r="B16" s="1" t="s">
        <v>0</v>
      </c>
      <c r="C16" s="1" t="s">
        <v>1</v>
      </c>
      <c r="D16" s="1" t="s">
        <v>2</v>
      </c>
      <c r="E16" s="1" t="s">
        <v>3</v>
      </c>
      <c r="F16" s="1" t="s">
        <v>4</v>
      </c>
      <c r="I16" s="1" t="s">
        <v>0</v>
      </c>
      <c r="J16" s="1" t="s">
        <v>1</v>
      </c>
      <c r="K16" s="1" t="s">
        <v>2</v>
      </c>
      <c r="L16" s="1" t="s">
        <v>3</v>
      </c>
      <c r="M16" s="1" t="s">
        <v>4</v>
      </c>
    </row>
    <row r="17" spans="1:13" x14ac:dyDescent="0.2">
      <c r="A17" s="1" t="s">
        <v>5</v>
      </c>
      <c r="B17">
        <v>0.41</v>
      </c>
      <c r="C17">
        <v>0.41</v>
      </c>
      <c r="D17">
        <v>0.41</v>
      </c>
      <c r="E17">
        <v>0.41</v>
      </c>
      <c r="F17">
        <v>0.41</v>
      </c>
      <c r="H17" s="1" t="s">
        <v>5</v>
      </c>
      <c r="I17" s="2">
        <f>(B17-B2)/B2</f>
        <v>0</v>
      </c>
      <c r="J17" s="2">
        <f t="shared" ref="J17:M17" si="0">(C17-C2)/C2</f>
        <v>0</v>
      </c>
      <c r="K17" s="2">
        <f t="shared" si="0"/>
        <v>0</v>
      </c>
      <c r="L17" s="2">
        <f t="shared" si="0"/>
        <v>0</v>
      </c>
      <c r="M17" s="2">
        <f t="shared" si="0"/>
        <v>0</v>
      </c>
    </row>
    <row r="18" spans="1:13" x14ac:dyDescent="0.2">
      <c r="A18" s="1" t="s">
        <v>6</v>
      </c>
      <c r="B18">
        <v>0.2931034482758621</v>
      </c>
      <c r="C18">
        <v>0.2931034482758621</v>
      </c>
      <c r="D18">
        <v>0.2931034482758621</v>
      </c>
      <c r="E18">
        <v>0.2931034482758621</v>
      </c>
      <c r="F18">
        <v>0.2931034482758621</v>
      </c>
      <c r="H18" s="1" t="s">
        <v>6</v>
      </c>
      <c r="I18" s="2">
        <f t="shared" ref="I18:I29" si="1">(B18-B3)/B3</f>
        <v>0</v>
      </c>
      <c r="J18" s="2">
        <f t="shared" ref="J18:J29" si="2">(C18-C3)/C3</f>
        <v>0</v>
      </c>
      <c r="K18" s="2">
        <f t="shared" ref="K18:K29" si="3">(D18-D3)/D3</f>
        <v>0</v>
      </c>
      <c r="L18" s="2">
        <f t="shared" ref="L18:L29" si="4">(E18-E3)/E3</f>
        <v>0</v>
      </c>
      <c r="M18" s="2">
        <f t="shared" ref="M18:M29" si="5">(F18-F3)/F3</f>
        <v>0</v>
      </c>
    </row>
    <row r="19" spans="1:13" x14ac:dyDescent="0.2">
      <c r="A19" s="1" t="s">
        <v>7</v>
      </c>
      <c r="B19">
        <v>0.11092707964370339</v>
      </c>
      <c r="C19">
        <v>0.11092707964370339</v>
      </c>
      <c r="D19">
        <v>0.11092707964370339</v>
      </c>
      <c r="E19">
        <v>0.11092707964370339</v>
      </c>
      <c r="F19">
        <v>0.11092707964370339</v>
      </c>
      <c r="H19" s="1" t="s">
        <v>7</v>
      </c>
      <c r="I19" s="2">
        <f t="shared" si="1"/>
        <v>-1.0256410256410022E-2</v>
      </c>
      <c r="J19" s="2">
        <f t="shared" si="2"/>
        <v>-1.0256410256410022E-2</v>
      </c>
      <c r="K19" s="2">
        <f t="shared" si="3"/>
        <v>-1.0256410256410022E-2</v>
      </c>
      <c r="L19" s="2">
        <f t="shared" si="4"/>
        <v>-1.0256410256410022E-2</v>
      </c>
      <c r="M19" s="2">
        <f t="shared" si="5"/>
        <v>-1.0256410256410022E-2</v>
      </c>
    </row>
    <row r="20" spans="1:13" x14ac:dyDescent="0.2">
      <c r="A20" s="1" t="s">
        <v>8</v>
      </c>
      <c r="B20">
        <v>0.14974600397736559</v>
      </c>
      <c r="C20">
        <v>0.1340057455915579</v>
      </c>
      <c r="D20">
        <v>0.1269366711356941</v>
      </c>
      <c r="E20">
        <v>0.1227516384872937</v>
      </c>
      <c r="F20">
        <v>0.1208654704820166</v>
      </c>
      <c r="H20" s="1" t="s">
        <v>8</v>
      </c>
      <c r="I20" s="2">
        <f t="shared" si="1"/>
        <v>6.1032582901576142E-4</v>
      </c>
      <c r="J20" s="2">
        <f t="shared" si="2"/>
        <v>-2.0772656786557316E-2</v>
      </c>
      <c r="K20" s="2">
        <f t="shared" si="3"/>
        <v>1.2679052368970794E-4</v>
      </c>
      <c r="L20" s="2">
        <f t="shared" si="4"/>
        <v>1.2570602513850367E-4</v>
      </c>
      <c r="M20" s="2">
        <f t="shared" si="5"/>
        <v>-1.5309459442275781E-2</v>
      </c>
    </row>
    <row r="21" spans="1:13" x14ac:dyDescent="0.2">
      <c r="A21" s="1" t="s">
        <v>9</v>
      </c>
      <c r="B21">
        <v>0.1902808313086686</v>
      </c>
      <c r="C21">
        <v>0.14977125788116499</v>
      </c>
      <c r="D21">
        <v>0.12762459132512199</v>
      </c>
      <c r="E21">
        <v>0.11864327084459129</v>
      </c>
      <c r="F21">
        <v>0.1147619155872846</v>
      </c>
      <c r="H21" s="1" t="s">
        <v>9</v>
      </c>
      <c r="I21" s="2">
        <f t="shared" si="1"/>
        <v>-2.1535820133728829E-3</v>
      </c>
      <c r="J21" s="2">
        <f t="shared" si="2"/>
        <v>-1.7485545588527638E-2</v>
      </c>
      <c r="K21" s="2">
        <f t="shared" si="3"/>
        <v>-4.1541441545822544E-3</v>
      </c>
      <c r="L21" s="2">
        <f t="shared" si="4"/>
        <v>-4.4967138823144084E-3</v>
      </c>
      <c r="M21" s="2">
        <f t="shared" si="5"/>
        <v>-1.7801691926770082E-2</v>
      </c>
    </row>
    <row r="22" spans="1:13" x14ac:dyDescent="0.2">
      <c r="A22" s="1" t="s">
        <v>10</v>
      </c>
      <c r="B22">
        <v>0.1806888942699228</v>
      </c>
      <c r="C22">
        <v>0.16385752191602759</v>
      </c>
      <c r="D22">
        <v>0.15529801219509021</v>
      </c>
      <c r="E22">
        <v>0.15130866520583711</v>
      </c>
      <c r="F22">
        <v>0.14961496744469069</v>
      </c>
      <c r="H22" s="1" t="s">
        <v>10</v>
      </c>
      <c r="I22" s="2">
        <f t="shared" si="1"/>
        <v>-1.8866174612570809E-3</v>
      </c>
      <c r="J22" s="2">
        <f t="shared" si="2"/>
        <v>-1.1956623543812706E-2</v>
      </c>
      <c r="K22" s="2">
        <f t="shared" si="3"/>
        <v>-2.6021770817182739E-3</v>
      </c>
      <c r="L22" s="2">
        <f t="shared" si="4"/>
        <v>-2.6817864063405409E-3</v>
      </c>
      <c r="M22" s="2">
        <f t="shared" si="5"/>
        <v>-1.0062156994950141E-2</v>
      </c>
    </row>
    <row r="23" spans="1:13" x14ac:dyDescent="0.2">
      <c r="A23" s="1" t="s">
        <v>11</v>
      </c>
      <c r="B23">
        <v>0</v>
      </c>
      <c r="C23">
        <v>0</v>
      </c>
      <c r="D23">
        <v>0</v>
      </c>
      <c r="E23">
        <v>0</v>
      </c>
      <c r="F23">
        <v>0</v>
      </c>
      <c r="H23" s="1" t="s">
        <v>11</v>
      </c>
      <c r="I23" s="2"/>
      <c r="J23" s="2"/>
      <c r="K23" s="2"/>
      <c r="L23" s="2"/>
      <c r="M23" s="2"/>
    </row>
    <row r="24" spans="1:13" x14ac:dyDescent="0.2">
      <c r="A24" s="1" t="s">
        <v>12</v>
      </c>
      <c r="B24">
        <v>0.1198398306167586</v>
      </c>
      <c r="C24">
        <v>8.9976481631361876E-2</v>
      </c>
      <c r="D24">
        <v>7.1995136693665682E-2</v>
      </c>
      <c r="E24">
        <v>6.5999845037023885E-2</v>
      </c>
      <c r="F24">
        <v>6.2999929981178648E-2</v>
      </c>
      <c r="H24" s="1" t="s">
        <v>12</v>
      </c>
      <c r="I24" s="3">
        <f t="shared" si="1"/>
        <v>-0.12610503137489523</v>
      </c>
      <c r="J24" s="3">
        <f t="shared" si="2"/>
        <v>-0.1614282738652687</v>
      </c>
      <c r="K24" s="3">
        <f t="shared" si="3"/>
        <v>-0.19416506382302065</v>
      </c>
      <c r="L24" s="3">
        <f t="shared" si="4"/>
        <v>-0.20814427460540594</v>
      </c>
      <c r="M24" s="3">
        <f t="shared" si="5"/>
        <v>-0.21592779992734804</v>
      </c>
    </row>
    <row r="25" spans="1:13" x14ac:dyDescent="0.2">
      <c r="A25" s="1" t="s">
        <v>13</v>
      </c>
      <c r="B25">
        <v>5.8184118035216448E-2</v>
      </c>
      <c r="C25">
        <v>5.6232198344426797E-2</v>
      </c>
      <c r="D25">
        <v>5.5196597653626112E-2</v>
      </c>
      <c r="E25">
        <v>5.4745281769208773E-2</v>
      </c>
      <c r="F25">
        <v>5.4538794774035317E-2</v>
      </c>
      <c r="H25" s="1" t="s">
        <v>13</v>
      </c>
      <c r="I25" s="2">
        <f t="shared" si="1"/>
        <v>-1.055989308683122E-3</v>
      </c>
      <c r="J25" s="2">
        <f t="shared" si="2"/>
        <v>-4.1201484418306135E-3</v>
      </c>
      <c r="K25" s="2">
        <f t="shared" si="3"/>
        <v>-1.2259151959017843E-3</v>
      </c>
      <c r="L25" s="2">
        <f t="shared" si="4"/>
        <v>-1.2375502566863729E-3</v>
      </c>
      <c r="M25" s="2">
        <f t="shared" si="5"/>
        <v>-3.2487953143225919E-3</v>
      </c>
    </row>
    <row r="26" spans="1:13" x14ac:dyDescent="0.2">
      <c r="A26" s="1" t="s">
        <v>14</v>
      </c>
      <c r="B26">
        <v>5.571080762196888E-2</v>
      </c>
      <c r="C26">
        <v>5.1514948741739043E-2</v>
      </c>
      <c r="D26">
        <v>4.9243260880123013E-2</v>
      </c>
      <c r="E26">
        <v>4.8299168573527479E-2</v>
      </c>
      <c r="F26">
        <v>4.7872463650537517E-2</v>
      </c>
      <c r="H26" s="1" t="s">
        <v>14</v>
      </c>
      <c r="I26" s="2">
        <f t="shared" si="1"/>
        <v>-1.3015973389676045E-3</v>
      </c>
      <c r="J26" s="2">
        <f t="shared" si="2"/>
        <v>-6.8204131159098286E-3</v>
      </c>
      <c r="K26" s="2">
        <f t="shared" si="3"/>
        <v>-1.7320643395615999E-3</v>
      </c>
      <c r="L26" s="2">
        <f t="shared" si="4"/>
        <v>-1.7718905190110571E-3</v>
      </c>
      <c r="M26" s="2">
        <f t="shared" si="5"/>
        <v>-5.6554706962406399E-3</v>
      </c>
    </row>
    <row r="27" spans="1:13" x14ac:dyDescent="0.2">
      <c r="A27" s="1" t="s">
        <v>15</v>
      </c>
      <c r="B27">
        <v>0.41783105716476648</v>
      </c>
      <c r="C27">
        <v>0.38636211556304279</v>
      </c>
      <c r="D27">
        <v>0.36932445660092261</v>
      </c>
      <c r="E27">
        <v>0.36224376430145611</v>
      </c>
      <c r="F27">
        <v>0.35904347737903142</v>
      </c>
      <c r="H27" s="1" t="s">
        <v>15</v>
      </c>
      <c r="I27" s="2">
        <f t="shared" si="1"/>
        <v>-1.3015973389675138E-3</v>
      </c>
      <c r="J27" s="2">
        <f t="shared" si="2"/>
        <v>-6.8204131159100151E-3</v>
      </c>
      <c r="K27" s="2">
        <f t="shared" si="3"/>
        <v>-1.7320643395616279E-3</v>
      </c>
      <c r="L27" s="2">
        <f t="shared" si="4"/>
        <v>-1.7718905190109997E-3</v>
      </c>
      <c r="M27" s="2">
        <f t="shared" si="5"/>
        <v>-5.6554706962402574E-3</v>
      </c>
    </row>
    <row r="28" spans="1:13" x14ac:dyDescent="0.2">
      <c r="A28" s="1" t="s">
        <v>16</v>
      </c>
      <c r="B28">
        <v>0.1390418449639963</v>
      </c>
      <c r="C28">
        <v>0.12920255583122209</v>
      </c>
      <c r="D28">
        <v>0.1238754478082667</v>
      </c>
      <c r="E28">
        <v>0.12166155134969529</v>
      </c>
      <c r="F28">
        <v>0.1206609283052838</v>
      </c>
      <c r="H28" s="1" t="s">
        <v>16</v>
      </c>
      <c r="I28" s="2">
        <f t="shared" si="1"/>
        <v>-9.8610526545636502E-3</v>
      </c>
      <c r="J28" s="2">
        <f t="shared" si="2"/>
        <v>-1.5574273580203355E-2</v>
      </c>
      <c r="K28" s="2">
        <f t="shared" si="3"/>
        <v>-1.1292553626832066E-2</v>
      </c>
      <c r="L28" s="2">
        <f t="shared" si="4"/>
        <v>-1.1501188422128007E-2</v>
      </c>
      <c r="M28" s="2">
        <f t="shared" si="5"/>
        <v>-1.5124721198333298E-2</v>
      </c>
    </row>
    <row r="29" spans="1:13" x14ac:dyDescent="0.2">
      <c r="A29" s="1" t="s">
        <v>17</v>
      </c>
      <c r="B29">
        <v>2.1253539158782289</v>
      </c>
      <c r="C29">
        <v>1.974953353420108</v>
      </c>
      <c r="D29">
        <v>1.893524702212076</v>
      </c>
      <c r="E29">
        <v>1.8596837134881989</v>
      </c>
      <c r="F29">
        <v>1.8443884755236239</v>
      </c>
      <c r="H29" s="1" t="s">
        <v>17</v>
      </c>
      <c r="I29" s="2">
        <f t="shared" si="1"/>
        <v>-9.8610526545636432E-3</v>
      </c>
      <c r="J29" s="2">
        <f t="shared" si="2"/>
        <v>-1.5574273580203853E-2</v>
      </c>
      <c r="K29" s="2">
        <f t="shared" si="3"/>
        <v>-1.1292553626832751E-2</v>
      </c>
      <c r="L29" s="2">
        <f t="shared" si="4"/>
        <v>-1.1501188422128305E-2</v>
      </c>
      <c r="M29" s="2">
        <f t="shared" si="5"/>
        <v>-1.5124721198333463E-2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18</v>
      </c>
    </row>
    <row r="2" spans="1:2" x14ac:dyDescent="0.2">
      <c r="A2" s="1" t="s">
        <v>5</v>
      </c>
      <c r="B2">
        <v>0.41</v>
      </c>
    </row>
    <row r="3" spans="1:2" x14ac:dyDescent="0.2">
      <c r="A3" s="1" t="s">
        <v>6</v>
      </c>
      <c r="B3">
        <v>0.2931034482758621</v>
      </c>
    </row>
    <row r="4" spans="1:2" x14ac:dyDescent="0.2">
      <c r="A4" s="1" t="s">
        <v>7</v>
      </c>
      <c r="B4">
        <v>0.11207658305970029</v>
      </c>
    </row>
    <row r="5" spans="1:2" x14ac:dyDescent="0.2">
      <c r="A5" s="1" t="s">
        <v>8</v>
      </c>
      <c r="B5">
        <v>0.1496546658693528</v>
      </c>
    </row>
    <row r="6" spans="1:2" x14ac:dyDescent="0.2">
      <c r="A6" s="1" t="s">
        <v>9</v>
      </c>
      <c r="B6">
        <v>0.19069150109553101</v>
      </c>
    </row>
    <row r="7" spans="1:2" x14ac:dyDescent="0.2">
      <c r="A7" s="1" t="s">
        <v>10</v>
      </c>
      <c r="B7">
        <v>0.18103042943912151</v>
      </c>
    </row>
    <row r="8" spans="1:2" x14ac:dyDescent="0.2">
      <c r="A8" s="1" t="s">
        <v>11</v>
      </c>
      <c r="B8">
        <v>0</v>
      </c>
    </row>
    <row r="9" spans="1:2" x14ac:dyDescent="0.2">
      <c r="A9" s="1" t="s">
        <v>12</v>
      </c>
      <c r="B9">
        <v>0.137132990713177</v>
      </c>
    </row>
    <row r="10" spans="1:2" x14ac:dyDescent="0.2">
      <c r="A10" s="1" t="s">
        <v>13</v>
      </c>
      <c r="B10">
        <v>5.8245624792274658E-2</v>
      </c>
    </row>
    <row r="11" spans="1:2" x14ac:dyDescent="0.2">
      <c r="A11" s="1" t="s">
        <v>14</v>
      </c>
      <c r="B11">
        <v>5.5783415166708393E-2</v>
      </c>
    </row>
    <row r="12" spans="1:2" x14ac:dyDescent="0.2">
      <c r="A12" s="1" t="s">
        <v>15</v>
      </c>
      <c r="B12">
        <v>0.41837561375031279</v>
      </c>
    </row>
    <row r="13" spans="1:2" x14ac:dyDescent="0.2">
      <c r="A13" s="1" t="s">
        <v>16</v>
      </c>
      <c r="B13">
        <v>0.14042659905134289</v>
      </c>
    </row>
    <row r="14" spans="1:2" x14ac:dyDescent="0.2">
      <c r="A14" s="1" t="s">
        <v>17</v>
      </c>
      <c r="B14">
        <v>2.1465208712133839</v>
      </c>
    </row>
    <row r="15" spans="1:2" x14ac:dyDescent="0.2">
      <c r="A15" s="1" t="s">
        <v>19</v>
      </c>
      <c r="B15">
        <v>27124.536615555091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18</v>
      </c>
    </row>
    <row r="2" spans="1:2" x14ac:dyDescent="0.2">
      <c r="A2" s="1" t="s">
        <v>5</v>
      </c>
      <c r="B2">
        <v>0.41</v>
      </c>
    </row>
    <row r="3" spans="1:2" x14ac:dyDescent="0.2">
      <c r="A3" s="1" t="s">
        <v>6</v>
      </c>
      <c r="B3">
        <v>0.2931034482758621</v>
      </c>
    </row>
    <row r="4" spans="1:2" x14ac:dyDescent="0.2">
      <c r="A4" s="1" t="s">
        <v>7</v>
      </c>
      <c r="B4">
        <v>0.11207658305970029</v>
      </c>
    </row>
    <row r="5" spans="1:2" x14ac:dyDescent="0.2">
      <c r="A5" s="1" t="s">
        <v>8</v>
      </c>
      <c r="B5">
        <v>0.13684845150647371</v>
      </c>
    </row>
    <row r="6" spans="1:2" x14ac:dyDescent="0.2">
      <c r="A6" s="1" t="s">
        <v>9</v>
      </c>
      <c r="B6">
        <v>0.15243669669051149</v>
      </c>
    </row>
    <row r="7" spans="1:2" x14ac:dyDescent="0.2">
      <c r="A7" s="1" t="s">
        <v>10</v>
      </c>
      <c r="B7">
        <v>0.1658404133062811</v>
      </c>
    </row>
    <row r="8" spans="1:2" x14ac:dyDescent="0.2">
      <c r="A8" s="1" t="s">
        <v>11</v>
      </c>
      <c r="B8">
        <v>0</v>
      </c>
    </row>
    <row r="9" spans="1:2" x14ac:dyDescent="0.2">
      <c r="A9" s="1" t="s">
        <v>12</v>
      </c>
      <c r="B9">
        <v>0.1072972994762115</v>
      </c>
    </row>
    <row r="10" spans="1:2" x14ac:dyDescent="0.2">
      <c r="A10" s="1" t="s">
        <v>13</v>
      </c>
      <c r="B10">
        <v>5.6464841874695033E-2</v>
      </c>
    </row>
    <row r="11" spans="1:2" x14ac:dyDescent="0.2">
      <c r="A11" s="1" t="s">
        <v>14</v>
      </c>
      <c r="B11">
        <v>5.1868714804497021E-2</v>
      </c>
    </row>
    <row r="12" spans="1:2" x14ac:dyDescent="0.2">
      <c r="A12" s="1" t="s">
        <v>15</v>
      </c>
      <c r="B12">
        <v>0.38901536103372769</v>
      </c>
    </row>
    <row r="13" spans="1:2" x14ac:dyDescent="0.2">
      <c r="A13" s="1" t="s">
        <v>16</v>
      </c>
      <c r="B13">
        <v>0.13124662670195719</v>
      </c>
    </row>
    <row r="14" spans="1:2" x14ac:dyDescent="0.2">
      <c r="A14" s="1" t="s">
        <v>17</v>
      </c>
      <c r="B14">
        <v>2.006198436729917</v>
      </c>
    </row>
    <row r="15" spans="1:2" x14ac:dyDescent="0.2">
      <c r="A15" s="1" t="s">
        <v>19</v>
      </c>
      <c r="B15">
        <v>27124.536615555091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18</v>
      </c>
    </row>
    <row r="2" spans="1:2" x14ac:dyDescent="0.2">
      <c r="A2" s="1" t="s">
        <v>5</v>
      </c>
      <c r="B2">
        <v>0.41</v>
      </c>
    </row>
    <row r="3" spans="1:2" x14ac:dyDescent="0.2">
      <c r="A3" s="1" t="s">
        <v>6</v>
      </c>
      <c r="B3">
        <v>0.2931034482758621</v>
      </c>
    </row>
    <row r="4" spans="1:2" x14ac:dyDescent="0.2">
      <c r="A4" s="1" t="s">
        <v>7</v>
      </c>
      <c r="B4">
        <v>0.11207658305970029</v>
      </c>
    </row>
    <row r="5" spans="1:2" x14ac:dyDescent="0.2">
      <c r="A5" s="1" t="s">
        <v>8</v>
      </c>
      <c r="B5">
        <v>0.1269205788090399</v>
      </c>
    </row>
    <row r="6" spans="1:2" x14ac:dyDescent="0.2">
      <c r="A6" s="1" t="s">
        <v>9</v>
      </c>
      <c r="B6">
        <v>0.1281569738689888</v>
      </c>
    </row>
    <row r="7" spans="1:2" x14ac:dyDescent="0.2">
      <c r="A7" s="1" t="s">
        <v>10</v>
      </c>
      <c r="B7">
        <v>0.15570317944018011</v>
      </c>
    </row>
    <row r="8" spans="1:2" x14ac:dyDescent="0.2">
      <c r="A8" s="1" t="s">
        <v>11</v>
      </c>
      <c r="B8">
        <v>0</v>
      </c>
    </row>
    <row r="9" spans="1:2" x14ac:dyDescent="0.2">
      <c r="A9" s="1" t="s">
        <v>12</v>
      </c>
      <c r="B9">
        <v>8.9342287683905938E-2</v>
      </c>
    </row>
    <row r="10" spans="1:2" x14ac:dyDescent="0.2">
      <c r="A10" s="1" t="s">
        <v>13</v>
      </c>
      <c r="B10">
        <v>5.5264347056474233E-2</v>
      </c>
    </row>
    <row r="11" spans="1:2" x14ac:dyDescent="0.2">
      <c r="A11" s="1" t="s">
        <v>14</v>
      </c>
      <c r="B11">
        <v>4.9328701364673648E-2</v>
      </c>
    </row>
    <row r="12" spans="1:2" x14ac:dyDescent="0.2">
      <c r="A12" s="1" t="s">
        <v>15</v>
      </c>
      <c r="B12">
        <v>0.36996526023505238</v>
      </c>
    </row>
    <row r="13" spans="1:2" x14ac:dyDescent="0.2">
      <c r="A13" s="1" t="s">
        <v>16</v>
      </c>
      <c r="B13">
        <v>0.12529029518557139</v>
      </c>
    </row>
    <row r="14" spans="1:2" x14ac:dyDescent="0.2">
      <c r="A14" s="1" t="s">
        <v>17</v>
      </c>
      <c r="B14">
        <v>1.9151516549794489</v>
      </c>
    </row>
    <row r="15" spans="1:2" x14ac:dyDescent="0.2">
      <c r="A15" s="1" t="s">
        <v>19</v>
      </c>
      <c r="B15">
        <v>27124.536615555091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5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18</v>
      </c>
    </row>
    <row r="2" spans="1:2" x14ac:dyDescent="0.2">
      <c r="A2" s="1" t="s">
        <v>5</v>
      </c>
      <c r="B2">
        <v>0.41</v>
      </c>
    </row>
    <row r="3" spans="1:2" x14ac:dyDescent="0.2">
      <c r="A3" s="1" t="s">
        <v>6</v>
      </c>
      <c r="B3">
        <v>0.2931034482758621</v>
      </c>
    </row>
    <row r="4" spans="1:2" x14ac:dyDescent="0.2">
      <c r="A4" s="1" t="s">
        <v>7</v>
      </c>
      <c r="B4">
        <v>0.11207658305970029</v>
      </c>
    </row>
    <row r="5" spans="1:2" x14ac:dyDescent="0.2">
      <c r="A5" s="1" t="s">
        <v>8</v>
      </c>
      <c r="B5">
        <v>0.1227362098062184</v>
      </c>
    </row>
    <row r="6" spans="1:2" x14ac:dyDescent="0.2">
      <c r="A6" s="1" t="s">
        <v>9</v>
      </c>
      <c r="B6">
        <v>0.1191791855427041</v>
      </c>
    </row>
    <row r="7" spans="1:2" x14ac:dyDescent="0.2">
      <c r="A7" s="1" t="s">
        <v>10</v>
      </c>
      <c r="B7">
        <v>0.1517155338621794</v>
      </c>
    </row>
    <row r="8" spans="1:2" x14ac:dyDescent="0.2">
      <c r="A8" s="1" t="s">
        <v>11</v>
      </c>
      <c r="B8">
        <v>0</v>
      </c>
    </row>
    <row r="9" spans="1:2" x14ac:dyDescent="0.2">
      <c r="A9" s="1" t="s">
        <v>12</v>
      </c>
      <c r="B9">
        <v>8.3348320812020565E-2</v>
      </c>
    </row>
    <row r="10" spans="1:2" x14ac:dyDescent="0.2">
      <c r="A10" s="1" t="s">
        <v>13</v>
      </c>
      <c r="B10">
        <v>5.4813115754680758E-2</v>
      </c>
    </row>
    <row r="11" spans="1:2" x14ac:dyDescent="0.2">
      <c r="A11" s="1" t="s">
        <v>14</v>
      </c>
      <c r="B11">
        <v>4.8384901321442228E-2</v>
      </c>
    </row>
    <row r="12" spans="1:2" x14ac:dyDescent="0.2">
      <c r="A12" s="1" t="s">
        <v>15</v>
      </c>
      <c r="B12">
        <v>0.3628867599108167</v>
      </c>
    </row>
    <row r="13" spans="1:2" x14ac:dyDescent="0.2">
      <c r="A13" s="1" t="s">
        <v>16</v>
      </c>
      <c r="B13">
        <v>0.1230770840841937</v>
      </c>
    </row>
    <row r="14" spans="1:2" x14ac:dyDescent="0.2">
      <c r="A14" s="1" t="s">
        <v>17</v>
      </c>
      <c r="B14">
        <v>1.881321142429818</v>
      </c>
    </row>
    <row r="15" spans="1:2" x14ac:dyDescent="0.2">
      <c r="A15" s="1" t="s">
        <v>19</v>
      </c>
      <c r="B15">
        <v>27124.536615555091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5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18</v>
      </c>
    </row>
    <row r="2" spans="1:2" x14ac:dyDescent="0.2">
      <c r="A2" s="1" t="s">
        <v>5</v>
      </c>
      <c r="B2">
        <v>0.41</v>
      </c>
    </row>
    <row r="3" spans="1:2" x14ac:dyDescent="0.2">
      <c r="A3" s="1" t="s">
        <v>6</v>
      </c>
      <c r="B3">
        <v>0.2931034482758621</v>
      </c>
    </row>
    <row r="4" spans="1:2" x14ac:dyDescent="0.2">
      <c r="A4" s="1" t="s">
        <v>7</v>
      </c>
      <c r="B4">
        <v>0.11207658305970029</v>
      </c>
    </row>
    <row r="5" spans="1:2" x14ac:dyDescent="0.2">
      <c r="A5" s="1" t="s">
        <v>8</v>
      </c>
      <c r="B5">
        <v>0.12274462432995339</v>
      </c>
    </row>
    <row r="6" spans="1:2" x14ac:dyDescent="0.2">
      <c r="A6" s="1" t="s">
        <v>9</v>
      </c>
      <c r="B6">
        <v>0.1168418990788246</v>
      </c>
    </row>
    <row r="7" spans="1:2" x14ac:dyDescent="0.2">
      <c r="A7" s="1" t="s">
        <v>10</v>
      </c>
      <c r="B7">
        <v>0.15113571877454479</v>
      </c>
    </row>
    <row r="8" spans="1:2" x14ac:dyDescent="0.2">
      <c r="A8" s="1" t="s">
        <v>11</v>
      </c>
      <c r="B8">
        <v>0</v>
      </c>
    </row>
    <row r="9" spans="1:2" x14ac:dyDescent="0.2">
      <c r="A9" s="1" t="s">
        <v>12</v>
      </c>
      <c r="B9">
        <v>8.0349653992758688E-2</v>
      </c>
    </row>
    <row r="10" spans="1:2" x14ac:dyDescent="0.2">
      <c r="A10" s="1" t="s">
        <v>13</v>
      </c>
      <c r="B10">
        <v>5.4716557670210171E-2</v>
      </c>
    </row>
    <row r="11" spans="1:2" x14ac:dyDescent="0.2">
      <c r="A11" s="1" t="s">
        <v>14</v>
      </c>
      <c r="B11">
        <v>4.8144744844181762E-2</v>
      </c>
    </row>
    <row r="12" spans="1:2" x14ac:dyDescent="0.2">
      <c r="A12" s="1" t="s">
        <v>15</v>
      </c>
      <c r="B12">
        <v>0.36108558633136317</v>
      </c>
    </row>
    <row r="13" spans="1:2" x14ac:dyDescent="0.2">
      <c r="A13" s="1" t="s">
        <v>16</v>
      </c>
      <c r="B13">
        <v>0.1225139171450179</v>
      </c>
    </row>
    <row r="14" spans="1:2" x14ac:dyDescent="0.2">
      <c r="A14" s="1" t="s">
        <v>17</v>
      </c>
      <c r="B14">
        <v>1.872712733502417</v>
      </c>
    </row>
    <row r="15" spans="1:2" x14ac:dyDescent="0.2">
      <c r="A15" s="1" t="s">
        <v>19</v>
      </c>
      <c r="B15">
        <v>27124.536615555091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 Weighted Average Results</vt:lpstr>
      <vt:lpstr>0.1 MW</vt:lpstr>
      <vt:lpstr>0.2 MW</vt:lpstr>
      <vt:lpstr>0.5 MW</vt:lpstr>
      <vt:lpstr>1 MW</vt:lpstr>
      <vt:lpstr>2 MW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2020-08-13T21:14:47Z</dcterms:created>
  <dcterms:modified xsi:type="dcterms:W3CDTF">2021-03-22T21:41:37Z</dcterms:modified>
</cp:coreProperties>
</file>