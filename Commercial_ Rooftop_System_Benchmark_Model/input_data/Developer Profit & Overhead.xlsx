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Py-Test/Commercial_ Rooftop_System_Benchmark_Model/input_data/"/>
    </mc:Choice>
  </mc:AlternateContent>
  <xr:revisionPtr revIDLastSave="0" documentId="13_ncr:1_{77354D94-C1BC-7349-9869-4274283BCEA0}" xr6:coauthVersionLast="45" xr6:coauthVersionMax="45" xr10:uidLastSave="{00000000-0000-0000-0000-000000000000}"/>
  <bookViews>
    <workbookView xWindow="0" yWindow="460" windowWidth="23260" windowHeight="12580" activeTab="3" xr2:uid="{49397217-84EB-4695-93D8-4BE8240BC9E4}"/>
  </bookViews>
  <sheets>
    <sheet name="Developer Business Model" sheetId="4" r:id="rId1"/>
    <sheet name="Developer Costs" sheetId="6" r:id="rId2"/>
    <sheet name="Ancillary Expenses" sheetId="7" r:id="rId3"/>
    <sheet name="Burden Rates" sheetId="2" r:id="rId4"/>
    <sheet name="Profi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2" i="7"/>
  <c r="D3" i="6"/>
  <c r="D4" i="6"/>
  <c r="D5" i="6"/>
  <c r="D6" i="6"/>
  <c r="D7" i="6"/>
  <c r="D8" i="6"/>
  <c r="D9" i="6"/>
  <c r="D10" i="6"/>
  <c r="D11" i="6"/>
  <c r="D12" i="6"/>
  <c r="D13" i="6"/>
  <c r="D14" i="6"/>
  <c r="D2" i="6"/>
</calcChain>
</file>

<file path=xl/sharedStrings.xml><?xml version="1.0" encoding="utf-8"?>
<sst xmlns="http://schemas.openxmlformats.org/spreadsheetml/2006/main" count="48" uniqueCount="46">
  <si>
    <t>Percent</t>
  </si>
  <si>
    <t>PEX</t>
  </si>
  <si>
    <t>FTE</t>
  </si>
  <si>
    <t>CEO</t>
  </si>
  <si>
    <t>CFO</t>
  </si>
  <si>
    <t>COO</t>
  </si>
  <si>
    <t>BizDev</t>
  </si>
  <si>
    <t>Marketing</t>
  </si>
  <si>
    <t>Finance, Sr</t>
  </si>
  <si>
    <t>Finance, Jr</t>
  </si>
  <si>
    <t>Engineering, Sr</t>
  </si>
  <si>
    <t>Engineering, Jr</t>
  </si>
  <si>
    <t>Project Mgr</t>
  </si>
  <si>
    <t>Project Administration</t>
  </si>
  <si>
    <t>IT</t>
  </si>
  <si>
    <t>HR</t>
  </si>
  <si>
    <t>Burden (%)</t>
  </si>
  <si>
    <t>Annual Salary ($)</t>
  </si>
  <si>
    <t>Value</t>
  </si>
  <si>
    <t>Leads Generated/Assessed</t>
  </si>
  <si>
    <t>Win Rate</t>
  </si>
  <si>
    <t>Avg kW/project</t>
  </si>
  <si>
    <t>Description</t>
  </si>
  <si>
    <t>X &gt;= 150,000</t>
  </si>
  <si>
    <t>100,000 &lt;= X &lt; 150,000</t>
  </si>
  <si>
    <t>X &lt; 100,000</t>
  </si>
  <si>
    <t>Salary Range</t>
  </si>
  <si>
    <t>OPEX</t>
  </si>
  <si>
    <t>Notes</t>
  </si>
  <si>
    <t>98 SF per person; $30/SF</t>
  </si>
  <si>
    <t>$5K per person</t>
  </si>
  <si>
    <t>$0.06/W; legal, accounting, IE, etc;</t>
  </si>
  <si>
    <t>sales at 70% of all weeks; other staff at 20%</t>
  </si>
  <si>
    <t>prorated over 5 years</t>
  </si>
  <si>
    <t>taxes, bank fees, …</t>
  </si>
  <si>
    <t>Sales Travel Frequency</t>
  </si>
  <si>
    <t>Others Travel Frequency</t>
  </si>
  <si>
    <t>Billing system ($)</t>
  </si>
  <si>
    <t>Insurance ($)</t>
  </si>
  <si>
    <t>Office space ($/person)</t>
  </si>
  <si>
    <t>Office expenses ($/person)</t>
  </si>
  <si>
    <t>External corporate services ($/W)</t>
  </si>
  <si>
    <t>Travel Per Diem (Including Flight) ($)</t>
  </si>
  <si>
    <t>Other ($)</t>
  </si>
  <si>
    <t>Dues and memberships ($)</t>
  </si>
  <si>
    <t>Developer Net Profit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</si>
</sst>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10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0" fontId="4" fillId="0" borderId="0" xfId="2" applyFont="1"/>
    <xf numFmtId="0" fontId="3" fillId="0" borderId="0" xfId="2"/>
    <xf numFmtId="0" fontId="3" fillId="0" borderId="0" xfId="2" applyBorder="1"/>
    <xf numFmtId="0" fontId="0" fillId="0" borderId="0" xfId="0" applyBorder="1"/>
    <xf numFmtId="0" fontId="2" fillId="0" borderId="0" xfId="0" applyFont="1"/>
  </cellXfs>
  <cellStyles count="3">
    <cellStyle name="Normal" xfId="0" builtinId="0"/>
    <cellStyle name="Normal 10" xfId="2" xr:uid="{54AE2F6E-9AB1-434A-96EA-2E1A9775087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B0E4-9A99-4126-ADE7-96A224EA7857}">
  <dimension ref="A1:B4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3" bestFit="1" customWidth="1"/>
    <col min="2" max="2" width="10" bestFit="1" customWidth="1"/>
  </cols>
  <sheetData>
    <row r="1" spans="1:2" x14ac:dyDescent="0.2">
      <c r="A1" t="s">
        <v>22</v>
      </c>
      <c r="B1" t="s">
        <v>18</v>
      </c>
    </row>
    <row r="2" spans="1:2" x14ac:dyDescent="0.2">
      <c r="A2" t="s">
        <v>19</v>
      </c>
      <c r="B2" s="2">
        <v>100</v>
      </c>
    </row>
    <row r="3" spans="1:2" x14ac:dyDescent="0.2">
      <c r="A3" t="s">
        <v>20</v>
      </c>
      <c r="B3" s="1">
        <v>0.5</v>
      </c>
    </row>
    <row r="4" spans="1:2" x14ac:dyDescent="0.2">
      <c r="A4" t="s">
        <v>21</v>
      </c>
      <c r="B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70EF-7EE3-4319-9FB9-C4574BF79ECE}">
  <dimension ref="A1:D14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19.33203125" bestFit="1" customWidth="1"/>
    <col min="3" max="3" width="14.5" bestFit="1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17</v>
      </c>
      <c r="D1" t="s">
        <v>16</v>
      </c>
    </row>
    <row r="2" spans="1:4" x14ac:dyDescent="0.2">
      <c r="A2" t="s">
        <v>3</v>
      </c>
      <c r="B2">
        <v>1</v>
      </c>
      <c r="C2">
        <v>199250</v>
      </c>
      <c r="D2">
        <f>IF(C2&gt;=150000,'Burden Rates'!$B$2,IF(C2&lt;100000,'Burden Rates'!$B$4,'Burden Rates'!$B$3))</f>
        <v>0.2</v>
      </c>
    </row>
    <row r="3" spans="1:4" x14ac:dyDescent="0.2">
      <c r="A3" t="s">
        <v>4</v>
      </c>
      <c r="B3">
        <v>1</v>
      </c>
      <c r="C3">
        <v>165520</v>
      </c>
      <c r="D3">
        <f>IF(C3&gt;=150000,'Burden Rates'!$B$2,IF(C3&lt;100000,'Burden Rates'!$B$4,'Burden Rates'!$B$3))</f>
        <v>0.2</v>
      </c>
    </row>
    <row r="4" spans="1:4" x14ac:dyDescent="0.2">
      <c r="A4" t="s">
        <v>5</v>
      </c>
      <c r="B4">
        <v>1</v>
      </c>
      <c r="C4">
        <v>165520</v>
      </c>
      <c r="D4">
        <f>IF(C4&gt;=150000,'Burden Rates'!$B$2,IF(C4&lt;100000,'Burden Rates'!$B$4,'Burden Rates'!$B$3))</f>
        <v>0.2</v>
      </c>
    </row>
    <row r="5" spans="1:4" x14ac:dyDescent="0.2">
      <c r="A5" t="s">
        <v>6</v>
      </c>
      <c r="B5">
        <v>3</v>
      </c>
      <c r="C5">
        <v>73570</v>
      </c>
      <c r="D5">
        <f>IF(C5&gt;=150000,'Burden Rates'!$B$2,IF(C5&lt;100000,'Burden Rates'!$B$4,'Burden Rates'!$B$3))</f>
        <v>0.3</v>
      </c>
    </row>
    <row r="6" spans="1:4" x14ac:dyDescent="0.2">
      <c r="A6" t="s">
        <v>7</v>
      </c>
      <c r="B6">
        <v>1</v>
      </c>
      <c r="C6">
        <v>119720</v>
      </c>
      <c r="D6">
        <f>IF(C6&gt;=150000,'Burden Rates'!$B$2,IF(C6&lt;100000,'Burden Rates'!$B$4,'Burden Rates'!$B$3))</f>
        <v>0.25</v>
      </c>
    </row>
    <row r="7" spans="1:4" x14ac:dyDescent="0.2">
      <c r="A7" t="s">
        <v>8</v>
      </c>
      <c r="B7">
        <v>1</v>
      </c>
      <c r="C7">
        <v>105730</v>
      </c>
      <c r="D7">
        <f>IF(C7&gt;=150000,'Burden Rates'!$B$2,IF(C7&lt;100000,'Burden Rates'!$B$4,'Burden Rates'!$B$3))</f>
        <v>0.25</v>
      </c>
    </row>
    <row r="8" spans="1:4" x14ac:dyDescent="0.2">
      <c r="A8" t="s">
        <v>9</v>
      </c>
      <c r="B8">
        <v>1</v>
      </c>
      <c r="C8">
        <v>85660</v>
      </c>
      <c r="D8">
        <f>IF(C8&gt;=150000,'Burden Rates'!$B$2,IF(C8&lt;100000,'Burden Rates'!$B$4,'Burden Rates'!$B$3))</f>
        <v>0.3</v>
      </c>
    </row>
    <row r="9" spans="1:4" x14ac:dyDescent="0.2">
      <c r="A9" t="s">
        <v>10</v>
      </c>
      <c r="B9">
        <v>1</v>
      </c>
      <c r="C9">
        <v>107230</v>
      </c>
      <c r="D9">
        <f>IF(C9&gt;=150000,'Burden Rates'!$B$2,IF(C9&lt;100000,'Burden Rates'!$B$4,'Burden Rates'!$B$3))</f>
        <v>0.25</v>
      </c>
    </row>
    <row r="10" spans="1:4" x14ac:dyDescent="0.2">
      <c r="A10" t="s">
        <v>11</v>
      </c>
      <c r="B10">
        <v>1</v>
      </c>
      <c r="C10">
        <v>72400</v>
      </c>
      <c r="D10">
        <f>IF(C10&gt;=150000,'Burden Rates'!$B$2,IF(C10&lt;100000,'Burden Rates'!$B$4,'Burden Rates'!$B$3))</f>
        <v>0.3</v>
      </c>
    </row>
    <row r="11" spans="1:4" x14ac:dyDescent="0.2">
      <c r="A11" t="s">
        <v>12</v>
      </c>
      <c r="B11">
        <v>2</v>
      </c>
      <c r="C11">
        <v>82820</v>
      </c>
      <c r="D11">
        <f>IF(C11&gt;=150000,'Burden Rates'!$B$2,IF(C11&lt;100000,'Burden Rates'!$B$4,'Burden Rates'!$B$3))</f>
        <v>0.3</v>
      </c>
    </row>
    <row r="12" spans="1:4" x14ac:dyDescent="0.2">
      <c r="A12" t="s">
        <v>13</v>
      </c>
      <c r="B12">
        <v>2</v>
      </c>
      <c r="C12">
        <v>46550</v>
      </c>
      <c r="D12">
        <f>IF(C12&gt;=150000,'Burden Rates'!$B$2,IF(C12&lt;100000,'Burden Rates'!$B$4,'Burden Rates'!$B$3))</f>
        <v>0.3</v>
      </c>
    </row>
    <row r="13" spans="1:4" x14ac:dyDescent="0.2">
      <c r="A13" t="s">
        <v>14</v>
      </c>
      <c r="B13">
        <v>1</v>
      </c>
      <c r="C13">
        <v>77810</v>
      </c>
      <c r="D13">
        <f>IF(C13&gt;=150000,'Burden Rates'!$B$2,IF(C13&lt;100000,'Burden Rates'!$B$4,'Burden Rates'!$B$3))</f>
        <v>0.3</v>
      </c>
    </row>
    <row r="14" spans="1:4" x14ac:dyDescent="0.2">
      <c r="A14" t="s">
        <v>15</v>
      </c>
      <c r="B14">
        <v>1</v>
      </c>
      <c r="C14">
        <v>70030</v>
      </c>
      <c r="D14">
        <f>IF(C14&gt;=150000,'Burden Rates'!$B$2,IF(C14&lt;100000,'Burden Rates'!$B$4,'Burden Rates'!$B$3))</f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F9D6-417C-4FD8-AA89-96F17B6928A3}">
  <dimension ref="A1:C12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35.1640625" bestFit="1" customWidth="1"/>
    <col min="2" max="2" width="7.1640625" bestFit="1" customWidth="1"/>
    <col min="3" max="3" width="33.6640625" bestFit="1" customWidth="1"/>
  </cols>
  <sheetData>
    <row r="1" spans="1:3" ht="16" x14ac:dyDescent="0.2">
      <c r="A1" s="4" t="s">
        <v>27</v>
      </c>
      <c r="B1" s="8" t="s">
        <v>18</v>
      </c>
      <c r="C1" s="8" t="s">
        <v>28</v>
      </c>
    </row>
    <row r="2" spans="1:3" ht="16" x14ac:dyDescent="0.2">
      <c r="A2" s="5" t="s">
        <v>39</v>
      </c>
      <c r="B2">
        <f>98*30</f>
        <v>2940</v>
      </c>
      <c r="C2" t="s">
        <v>29</v>
      </c>
    </row>
    <row r="3" spans="1:3" ht="16" x14ac:dyDescent="0.2">
      <c r="A3" s="5" t="s">
        <v>40</v>
      </c>
      <c r="B3">
        <v>5000</v>
      </c>
      <c r="C3" t="s">
        <v>30</v>
      </c>
    </row>
    <row r="4" spans="1:3" ht="16" x14ac:dyDescent="0.2">
      <c r="A4" s="5" t="s">
        <v>41</v>
      </c>
      <c r="B4">
        <v>0.06</v>
      </c>
      <c r="C4" t="s">
        <v>31</v>
      </c>
    </row>
    <row r="5" spans="1:3" ht="16" x14ac:dyDescent="0.2">
      <c r="A5" s="5" t="s">
        <v>35</v>
      </c>
      <c r="B5">
        <v>0.7</v>
      </c>
      <c r="C5" t="s">
        <v>32</v>
      </c>
    </row>
    <row r="6" spans="1:3" ht="16" x14ac:dyDescent="0.2">
      <c r="A6" s="5" t="s">
        <v>36</v>
      </c>
      <c r="B6">
        <v>0.2</v>
      </c>
    </row>
    <row r="7" spans="1:3" ht="16" x14ac:dyDescent="0.2">
      <c r="A7" s="5" t="s">
        <v>42</v>
      </c>
      <c r="B7">
        <f>((400+(200*4)+(150*4)+(100*4)))</f>
        <v>2200</v>
      </c>
    </row>
    <row r="8" spans="1:3" ht="16" x14ac:dyDescent="0.2">
      <c r="A8" s="5" t="s">
        <v>37</v>
      </c>
      <c r="B8">
        <v>100000</v>
      </c>
      <c r="C8" t="s">
        <v>33</v>
      </c>
    </row>
    <row r="9" spans="1:3" ht="16" x14ac:dyDescent="0.2">
      <c r="A9" s="5" t="s">
        <v>38</v>
      </c>
      <c r="B9">
        <v>30000</v>
      </c>
    </row>
    <row r="10" spans="1:3" ht="16" x14ac:dyDescent="0.2">
      <c r="A10" s="5" t="s">
        <v>43</v>
      </c>
      <c r="B10">
        <v>20000</v>
      </c>
      <c r="C10" t="s">
        <v>34</v>
      </c>
    </row>
    <row r="11" spans="1:3" ht="16" x14ac:dyDescent="0.2">
      <c r="A11" s="6" t="s">
        <v>44</v>
      </c>
      <c r="B11">
        <v>20000</v>
      </c>
    </row>
    <row r="12" spans="1:3" x14ac:dyDescent="0.2">
      <c r="A12" s="7"/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604-C56A-4B50-AFD4-C46B485BBC3A}">
  <dimension ref="A1:B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26</v>
      </c>
      <c r="B1" t="s">
        <v>0</v>
      </c>
    </row>
    <row r="2" spans="1:2" x14ac:dyDescent="0.2">
      <c r="A2" t="s">
        <v>23</v>
      </c>
      <c r="B2" s="1">
        <v>0.2</v>
      </c>
    </row>
    <row r="3" spans="1:2" x14ac:dyDescent="0.2">
      <c r="A3" t="s">
        <v>24</v>
      </c>
      <c r="B3" s="1">
        <v>0.25</v>
      </c>
    </row>
    <row r="4" spans="1:2" x14ac:dyDescent="0.2">
      <c r="A4" t="s">
        <v>25</v>
      </c>
      <c r="B4" s="3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FEC4-D6AC-43C8-B043-A196832A3868}">
  <dimension ref="A1:B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8.1640625" bestFit="1" customWidth="1"/>
  </cols>
  <sheetData>
    <row r="1" spans="1:2" x14ac:dyDescent="0.2">
      <c r="B1" t="s">
        <v>18</v>
      </c>
    </row>
    <row r="2" spans="1:2" x14ac:dyDescent="0.2">
      <c r="A2" t="s">
        <v>45</v>
      </c>
      <c r="B2" s="1">
        <v>7.0000000000000007E-2</v>
      </c>
    </row>
    <row r="3" spans="1:2" x14ac:dyDescent="0.2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Developer Business Model</vt:lpstr>
      <vt:lpstr>Developer Costs</vt:lpstr>
      <vt:lpstr>Ancillary Expenses</vt:lpstr>
      <vt:lpstr>Burden Rates</vt:lpstr>
      <vt:lpstr>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Ramasamy, Vignesh</cp:lastModifiedBy>
  <dcterms:created xsi:type="dcterms:W3CDTF">2019-01-22T22:26:21Z</dcterms:created>
  <dcterms:modified xsi:type="dcterms:W3CDTF">2020-01-22T22:43:11Z</dcterms:modified>
</cp:coreProperties>
</file>