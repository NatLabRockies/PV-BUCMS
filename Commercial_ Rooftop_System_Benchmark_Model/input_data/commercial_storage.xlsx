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mdas\Documents\Solar Benchmark\Commercial System Benchmark Model\input_data\"/>
    </mc:Choice>
  </mc:AlternateContent>
  <xr:revisionPtr revIDLastSave="0" documentId="13_ncr:9_{966904F5-431F-4746-96C4-9E53358D384E}" xr6:coauthVersionLast="43" xr6:coauthVersionMax="43" xr10:uidLastSave="{00000000-0000-0000-0000-000000000000}"/>
  <bookViews>
    <workbookView xWindow="-108" yWindow="-108" windowWidth="23256" windowHeight="12576" xr2:uid="{F3880F19-E282-4FAA-B6A3-2947053152EA}"/>
  </bookViews>
  <sheets>
    <sheet name="commercial_stor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4" authorId="0" shapeId="0" xr:uid="{3A69B650-756B-4B4D-9840-25B5216F4818}">
      <text>
        <r>
          <rPr>
            <sz val="9"/>
            <color indexed="81"/>
            <rFont val="Tahoma"/>
            <family val="2"/>
          </rPr>
          <t xml:space="preserve">Aquion Energy $459/kWh (3/3/16) retail google shopping
Encell Technology Nickel Iorn $999/kWh (3/3/16) altE store
Lead Acid Avg Retail $246/kWh (3/3/16) min $122 max $437
AES
NEC (Was A123)
Tesla
Panasonic
LG
Samsung
BYD
Toshiba
Saft
Hitachi
Kokam
Sony
Lishen
Leclanche
</t>
        </r>
      </text>
    </comment>
    <comment ref="B17" authorId="0" shapeId="0" xr:uid="{5958352A-7AB1-4E0D-A714-CB40E6B21E8E}">
      <text>
        <r>
          <rPr>
            <b/>
            <sz val="9"/>
            <color indexed="81"/>
            <rFont val="Tahoma"/>
            <family val="2"/>
          </rPr>
          <t xml:space="preserve">$1.5 per insulation
$2 per walls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<sst xmlns="http://schemas.openxmlformats.org/spreadsheetml/2006/main" count="54" uniqueCount="41">
  <si>
    <t>Description</t>
  </si>
  <si>
    <t>Value</t>
  </si>
  <si>
    <t>Units</t>
  </si>
  <si>
    <t>Length</t>
  </si>
  <si>
    <t>ft</t>
  </si>
  <si>
    <t>Width</t>
  </si>
  <si>
    <t>Height</t>
  </si>
  <si>
    <t>Weight</t>
  </si>
  <si>
    <t>lbs</t>
  </si>
  <si>
    <t>Row ID</t>
  </si>
  <si>
    <t>kW</t>
  </si>
  <si>
    <t>Power Rating (System Nameplate Capacity)</t>
  </si>
  <si>
    <t>Depth of Discharge (DoD)</t>
  </si>
  <si>
    <t>Depth of Discharge Cycles per Day</t>
  </si>
  <si>
    <t>Cost</t>
  </si>
  <si>
    <t>Per Units</t>
  </si>
  <si>
    <t>Battery</t>
  </si>
  <si>
    <t>$/kWh</t>
  </si>
  <si>
    <t>Inverter - Power Conversion</t>
  </si>
  <si>
    <t>$/kW</t>
  </si>
  <si>
    <t>Container or Housing</t>
  </si>
  <si>
    <t>$/container</t>
  </si>
  <si>
    <t>Container facilitaz (Insulation/Walls)</t>
  </si>
  <si>
    <t>$/sq ft of surface area</t>
  </si>
  <si>
    <t>HVAC</t>
  </si>
  <si>
    <t>$/sq ft</t>
  </si>
  <si>
    <t>Revenue Grade Meter</t>
  </si>
  <si>
    <t>$/unit</t>
  </si>
  <si>
    <t>Fire Detection</t>
  </si>
  <si>
    <t>Fire Suppression</t>
  </si>
  <si>
    <t>Communication Device</t>
  </si>
  <si>
    <t>Labor</t>
  </si>
  <si>
    <t>$/hour</t>
  </si>
  <si>
    <t>AC Main Panel</t>
  </si>
  <si>
    <t>DC disconnect</t>
  </si>
  <si>
    <t>Isolation Transformer</t>
  </si>
  <si>
    <t>AUX Power - lighting etc</t>
  </si>
  <si>
    <t>Electrical Conduit</t>
  </si>
  <si>
    <t>$/ft</t>
  </si>
  <si>
    <t>Control System/SCADA</t>
  </si>
  <si>
    <t>$/kw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</si>
</sst>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0" borderId="0" xfId="1" applyBorder="1" applyAlignment="1">
      <alignment horizontal="right"/>
    </xf>
    <xf numFmtId="0" fontId="0" fillId="3" borderId="1" xfId="0" applyFill="1" applyBorder="1"/>
    <xf numFmtId="0" fontId="0" fillId="0" borderId="0" xfId="0" applyBorder="1"/>
    <xf numFmtId="0" fontId="2" fillId="0" borderId="0" xfId="1" applyFill="1" applyBorder="1" applyAlignment="1">
      <alignment horizontal="right"/>
    </xf>
    <xf numFmtId="9" fontId="0" fillId="3" borderId="1" xfId="0" applyNumberFormat="1" applyFill="1" applyBorder="1"/>
    <xf numFmtId="0" fontId="2" fillId="0" borderId="0" xfId="1" applyFont="1" applyBorder="1"/>
    <xf numFmtId="0" fontId="2" fillId="0" borderId="0" xfId="1" applyFont="1" applyBorder="1" applyAlignment="1">
      <alignment horizontal="right"/>
    </xf>
    <xf numFmtId="0" fontId="2" fillId="3" borderId="1" xfId="1" applyFont="1" applyFill="1" applyBorder="1"/>
    <xf numFmtId="0" fontId="2" fillId="3" borderId="1" xfId="1" applyFill="1" applyBorder="1"/>
    <xf numFmtId="0" fontId="2" fillId="0" borderId="0" xfId="1" applyBorder="1"/>
  </cellXfs>
  <cellStyles count="2">
    <cellStyle name="Normal" xfId="0" builtinId="0"/>
    <cellStyle name="Normal 2 7" xfId="1" xr:uid="{0277D32E-C240-4463-A649-055474D3A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26EA-61C4-4749-B2F9-EB32CA00AFD9}">
  <dimension ref="A1:C29"/>
  <sheetViews>
    <sheetView tabSelected="1" workbookViewId="0">
      <selection activeCell="G19" sqref="G19"/>
    </sheetView>
  </sheetViews>
  <sheetFormatPr defaultRowHeight="14.4" x14ac:dyDescent="0.3"/>
  <cols>
    <col min="1" max="1" width="41.6640625" bestFit="1" customWidth="1"/>
    <col min="3" max="3" width="21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>
        <v>40</v>
      </c>
      <c r="C2" s="4" t="s">
        <v>4</v>
      </c>
    </row>
    <row r="3" spans="1:3" ht="15.6" x14ac:dyDescent="0.3">
      <c r="A3" s="2" t="s">
        <v>5</v>
      </c>
      <c r="B3" s="3">
        <v>8</v>
      </c>
      <c r="C3" s="4" t="s">
        <v>4</v>
      </c>
    </row>
    <row r="4" spans="1:3" ht="15.6" x14ac:dyDescent="0.3">
      <c r="A4" s="2" t="s">
        <v>6</v>
      </c>
      <c r="B4" s="3">
        <v>9.5</v>
      </c>
      <c r="C4" s="4" t="s">
        <v>4</v>
      </c>
    </row>
    <row r="5" spans="1:3" ht="15.6" x14ac:dyDescent="0.3">
      <c r="A5" s="2" t="s">
        <v>7</v>
      </c>
      <c r="B5" s="3">
        <v>8000</v>
      </c>
      <c r="C5" s="4" t="s">
        <v>8</v>
      </c>
    </row>
    <row r="6" spans="1:3" x14ac:dyDescent="0.3">
      <c r="A6" s="4"/>
      <c r="B6" s="4"/>
      <c r="C6" s="4"/>
    </row>
    <row r="7" spans="1:3" x14ac:dyDescent="0.3">
      <c r="A7" s="1" t="s">
        <v>0</v>
      </c>
      <c r="B7" s="1" t="s">
        <v>1</v>
      </c>
      <c r="C7" s="1" t="s">
        <v>2</v>
      </c>
    </row>
    <row r="8" spans="1:3" ht="15.6" x14ac:dyDescent="0.3">
      <c r="A8" s="5" t="s">
        <v>9</v>
      </c>
      <c r="B8" s="3">
        <v>217</v>
      </c>
      <c r="C8" s="4" t="s">
        <v>10</v>
      </c>
    </row>
    <row r="9" spans="1:3" ht="15.6" x14ac:dyDescent="0.3">
      <c r="A9" s="5" t="s">
        <v>11</v>
      </c>
      <c r="B9" s="3">
        <v>11</v>
      </c>
      <c r="C9" s="4"/>
    </row>
    <row r="10" spans="1:3" ht="15.6" x14ac:dyDescent="0.3">
      <c r="A10" s="5" t="s">
        <v>12</v>
      </c>
      <c r="B10" s="6">
        <v>0.9</v>
      </c>
      <c r="C10" s="4"/>
    </row>
    <row r="11" spans="1:3" ht="15.6" x14ac:dyDescent="0.3">
      <c r="A11" s="5" t="s">
        <v>13</v>
      </c>
      <c r="B11" s="3">
        <v>1</v>
      </c>
      <c r="C11" s="4"/>
    </row>
    <row r="12" spans="1:3" ht="15.6" x14ac:dyDescent="0.3">
      <c r="A12" s="7"/>
      <c r="B12" s="4"/>
      <c r="C12" s="4"/>
    </row>
    <row r="13" spans="1:3" x14ac:dyDescent="0.3">
      <c r="A13" s="1" t="s">
        <v>0</v>
      </c>
      <c r="B13" s="1" t="s">
        <v>14</v>
      </c>
      <c r="C13" s="1" t="s">
        <v>15</v>
      </c>
    </row>
    <row r="14" spans="1:3" ht="15.6" x14ac:dyDescent="0.3">
      <c r="A14" s="8" t="s">
        <v>16</v>
      </c>
      <c r="B14" s="9">
        <v>500</v>
      </c>
      <c r="C14" s="7" t="s">
        <v>17</v>
      </c>
    </row>
    <row r="15" spans="1:3" ht="15.6" x14ac:dyDescent="0.3">
      <c r="A15" s="2" t="s">
        <v>18</v>
      </c>
      <c r="B15" s="10">
        <f>280</f>
        <v>280</v>
      </c>
      <c r="C15" s="11" t="s">
        <v>19</v>
      </c>
    </row>
    <row r="16" spans="1:3" ht="15.6" x14ac:dyDescent="0.3">
      <c r="A16" s="2" t="s">
        <v>20</v>
      </c>
      <c r="B16" s="10">
        <v>5000</v>
      </c>
      <c r="C16" s="11" t="s">
        <v>21</v>
      </c>
    </row>
    <row r="17" spans="1:3" ht="15.6" x14ac:dyDescent="0.3">
      <c r="A17" s="2" t="s">
        <v>22</v>
      </c>
      <c r="B17" s="10">
        <v>3.5</v>
      </c>
      <c r="C17" s="11" t="s">
        <v>23</v>
      </c>
    </row>
    <row r="18" spans="1:3" ht="15.6" x14ac:dyDescent="0.3">
      <c r="A18" s="2" t="s">
        <v>24</v>
      </c>
      <c r="B18" s="10">
        <v>10.5</v>
      </c>
      <c r="C18" s="11" t="s">
        <v>25</v>
      </c>
    </row>
    <row r="19" spans="1:3" ht="15.6" x14ac:dyDescent="0.3">
      <c r="A19" s="2" t="s">
        <v>26</v>
      </c>
      <c r="B19" s="10">
        <v>250</v>
      </c>
      <c r="C19" s="11" t="s">
        <v>27</v>
      </c>
    </row>
    <row r="20" spans="1:3" ht="15.6" x14ac:dyDescent="0.3">
      <c r="A20" s="2" t="s">
        <v>28</v>
      </c>
      <c r="B20" s="10">
        <v>3</v>
      </c>
      <c r="C20" s="11" t="s">
        <v>25</v>
      </c>
    </row>
    <row r="21" spans="1:3" ht="15.6" x14ac:dyDescent="0.3">
      <c r="A21" s="2" t="s">
        <v>29</v>
      </c>
      <c r="B21" s="10">
        <v>6</v>
      </c>
      <c r="C21" s="11" t="s">
        <v>25</v>
      </c>
    </row>
    <row r="22" spans="1:3" ht="15.6" x14ac:dyDescent="0.3">
      <c r="A22" s="2" t="s">
        <v>30</v>
      </c>
      <c r="B22" s="10">
        <v>200</v>
      </c>
      <c r="C22" s="11" t="s">
        <v>27</v>
      </c>
    </row>
    <row r="23" spans="1:3" ht="15.6" x14ac:dyDescent="0.3">
      <c r="A23" s="2" t="s">
        <v>31</v>
      </c>
      <c r="B23" s="10">
        <v>30</v>
      </c>
      <c r="C23" s="11" t="s">
        <v>32</v>
      </c>
    </row>
    <row r="24" spans="1:3" ht="15.6" x14ac:dyDescent="0.3">
      <c r="A24" s="2" t="s">
        <v>33</v>
      </c>
      <c r="B24" s="10">
        <v>200</v>
      </c>
      <c r="C24" s="11" t="s">
        <v>27</v>
      </c>
    </row>
    <row r="25" spans="1:3" ht="15.6" x14ac:dyDescent="0.3">
      <c r="A25" s="2" t="s">
        <v>34</v>
      </c>
      <c r="B25" s="10">
        <v>200</v>
      </c>
      <c r="C25" s="11" t="s">
        <v>27</v>
      </c>
    </row>
    <row r="26" spans="1:3" ht="15.6" x14ac:dyDescent="0.3">
      <c r="A26" s="2" t="s">
        <v>35</v>
      </c>
      <c r="B26" s="10">
        <v>500</v>
      </c>
      <c r="C26" s="11" t="s">
        <v>27</v>
      </c>
    </row>
    <row r="27" spans="1:3" ht="15.6" x14ac:dyDescent="0.3">
      <c r="A27" s="2" t="s">
        <v>36</v>
      </c>
      <c r="B27" s="10">
        <v>5</v>
      </c>
      <c r="C27" s="11" t="s">
        <v>25</v>
      </c>
    </row>
    <row r="28" spans="1:3" ht="15.6" x14ac:dyDescent="0.3">
      <c r="A28" s="2" t="s">
        <v>37</v>
      </c>
      <c r="B28" s="10">
        <v>5</v>
      </c>
      <c r="C28" s="11" t="s">
        <v>38</v>
      </c>
    </row>
    <row r="29" spans="1:3" ht="15.6" x14ac:dyDescent="0.3">
      <c r="A29" s="2" t="s">
        <v>39</v>
      </c>
      <c r="B29" s="10">
        <v>1860</v>
      </c>
      <c r="C29" s="11" t="s">
        <v>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commercial_storage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Ramdas, Ashwin</cp:lastModifiedBy>
  <dcterms:created xsi:type="dcterms:W3CDTF">2019-05-08T20:45:35Z</dcterms:created>
  <dcterms:modified xsi:type="dcterms:W3CDTF">2019-05-08T21:09:58Z</dcterms:modified>
</cp:coreProperties>
</file>