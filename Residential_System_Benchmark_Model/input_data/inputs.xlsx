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ramasam/Desktop/system_cost_models/2022_Models/Market Data Models/pv_benchmark/Residential_System_Benchmark_Model/input_data/"/>
    </mc:Choice>
  </mc:AlternateContent>
  <xr:revisionPtr revIDLastSave="0" documentId="13_ncr:1_{B63FADB7-7ECB-CD43-822A-D3FBAFEC9C0C}" xr6:coauthVersionLast="47" xr6:coauthVersionMax="47" xr10:uidLastSave="{00000000-0000-0000-0000-000000000000}"/>
  <bookViews>
    <workbookView xWindow="2380" yWindow="460" windowWidth="22700" windowHeight="20540" xr2:uid="{00000000-000D-0000-FFFF-FFFF00000000}"/>
  </bookViews>
  <sheets>
    <sheet name="inputs" sheetId="1" r:id="rId1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5" i="1" l="1"/>
  <c r="D36" i="1"/>
  <c r="I31" i="1"/>
  <c r="E21" i="1" l="1"/>
  <c r="F21" i="1"/>
  <c r="E22" i="1"/>
  <c r="F22" i="1"/>
  <c r="E23" i="1"/>
  <c r="F23" i="1"/>
  <c r="F20" i="1"/>
  <c r="E20" i="1"/>
  <c r="E36" i="1"/>
  <c r="E35" i="1"/>
  <c r="F15" i="1" l="1"/>
  <c r="F16" i="1"/>
</calcChain>
</file>

<file path=xl/sharedStrings.xml><?xml version="1.0" encoding="utf-8"?>
<sst xmlns="http://schemas.openxmlformats.org/spreadsheetml/2006/main" count="115" uniqueCount="103">
  <si>
    <t>Description</t>
  </si>
  <si>
    <t>Value A</t>
  </si>
  <si>
    <t>Value B</t>
  </si>
  <si>
    <t>Value C</t>
  </si>
  <si>
    <t>Value D</t>
  </si>
  <si>
    <t>SYSTEM DESCRIPTION</t>
  </si>
  <si>
    <t>Location</t>
  </si>
  <si>
    <t>Labor Rate</t>
  </si>
  <si>
    <t>BLS Survey</t>
  </si>
  <si>
    <t>Year</t>
  </si>
  <si>
    <t>ENVIRONMENT</t>
  </si>
  <si>
    <t>YES/NO</t>
  </si>
  <si>
    <t>LOW</t>
  </si>
  <si>
    <t>HIGH</t>
  </si>
  <si>
    <t>Environment Saving?</t>
  </si>
  <si>
    <t>No</t>
  </si>
  <si>
    <t>Environment Land Acquisition</t>
  </si>
  <si>
    <t>Environment Permit Reduction</t>
  </si>
  <si>
    <t>MODULES</t>
  </si>
  <si>
    <t>VALUE</t>
  </si>
  <si>
    <t>Module Name</t>
  </si>
  <si>
    <t>Module Efficiency</t>
  </si>
  <si>
    <t>Module Price ($/W)</t>
  </si>
  <si>
    <t>INVERTER</t>
  </si>
  <si>
    <t>UNCERTAINTY ANALYSIS PERCENTAGES</t>
  </si>
  <si>
    <t>MIN</t>
  </si>
  <si>
    <t>MODE</t>
  </si>
  <si>
    <t>MAX</t>
  </si>
  <si>
    <t>USER ENTERED AVERAGE</t>
  </si>
  <si>
    <t>Design Conservatism Factor</t>
  </si>
  <si>
    <t>Overhead &amp; Profit on Materials and Equipments</t>
  </si>
  <si>
    <t>Profit on labor</t>
  </si>
  <si>
    <t>Permitting Cost</t>
  </si>
  <si>
    <t>Substation Cost</t>
  </si>
  <si>
    <t>Interconnection Fee Factor</t>
  </si>
  <si>
    <t>Contingency - Logistics ?</t>
  </si>
  <si>
    <t>ASCE Coefficient Cn</t>
  </si>
  <si>
    <t>Transmission line distance (mode=0.5 mile)</t>
  </si>
  <si>
    <t>LOADING ANALYSIS</t>
  </si>
  <si>
    <t>Importance Factor, I</t>
  </si>
  <si>
    <t>BALANCE OF STATION</t>
  </si>
  <si>
    <t>EQUIPMENT TYPE</t>
  </si>
  <si>
    <t>Tubing</t>
  </si>
  <si>
    <t xml:space="preserve">4"x4"x0.137" 70 KSI Tubing </t>
  </si>
  <si>
    <t>Column</t>
  </si>
  <si>
    <t>W6 x 15 Shape, Gr. 50</t>
  </si>
  <si>
    <t>Clamp</t>
  </si>
  <si>
    <t>Universal Clamps</t>
  </si>
  <si>
    <t>Improved Logistics Percent</t>
  </si>
  <si>
    <t>Wind Loading Factor</t>
  </si>
  <si>
    <t>Average Racking Distributor Cost Discount</t>
  </si>
  <si>
    <t>High Efficiency</t>
  </si>
  <si>
    <t>Integrator</t>
  </si>
  <si>
    <t>INSTALLATION</t>
  </si>
  <si>
    <t>MEDIAN</t>
  </si>
  <si>
    <t>Available Roof Space (m^2)</t>
  </si>
  <si>
    <t>Module Packing Efficiency</t>
  </si>
  <si>
    <t>Supply Chain Costs</t>
  </si>
  <si>
    <t>Discount on Racking</t>
  </si>
  <si>
    <t>LABOR COSTS</t>
  </si>
  <si>
    <t>Workers Comp Insurance</t>
  </si>
  <si>
    <t>Gross Margin</t>
  </si>
  <si>
    <t>Power Limited</t>
  </si>
  <si>
    <t>Area Constrained</t>
  </si>
  <si>
    <t>Max System Size (AC W)</t>
  </si>
  <si>
    <t>Module Width (m)</t>
  </si>
  <si>
    <t>Module Length (m)</t>
  </si>
  <si>
    <t>Supply Chain Costs - Inverter</t>
  </si>
  <si>
    <t>Installers</t>
  </si>
  <si>
    <t>Integrators</t>
  </si>
  <si>
    <t>DC to AC Derate</t>
  </si>
  <si>
    <t>Inverter Choice</t>
  </si>
  <si>
    <t>String Inverter</t>
  </si>
  <si>
    <t>Microinverter</t>
  </si>
  <si>
    <t>DC Optimizer</t>
  </si>
  <si>
    <t>Module Spacing (in)</t>
  </si>
  <si>
    <t>Row Spacing (in)</t>
  </si>
  <si>
    <t>String Size</t>
  </si>
  <si>
    <t>MARKET SHARE</t>
  </si>
  <si>
    <t>Market Share</t>
  </si>
  <si>
    <t>Quarter</t>
  </si>
  <si>
    <t>Q1</t>
  </si>
  <si>
    <t>Labor Time Factor</t>
  </si>
  <si>
    <t>Federal and State Unemployment Insurance</t>
  </si>
  <si>
    <t>Social Security Taxes (FICA)</t>
  </si>
  <si>
    <t>Builder's Risk Insurance</t>
  </si>
  <si>
    <t>Public Liability</t>
  </si>
  <si>
    <t>Office Staff Hours</t>
  </si>
  <si>
    <t>Permitting Fee ($/System)</t>
  </si>
  <si>
    <t>Office Staff: Procurement Clerks Wage ($/hr)</t>
  </si>
  <si>
    <t>Desired Power (W)</t>
  </si>
  <si>
    <t>DC to AC Ratio (String Inverter)</t>
  </si>
  <si>
    <t>DC to AC Ratio (Microinverter)</t>
  </si>
  <si>
    <t>DC to AC Ratio (DC Optimizer)</t>
  </si>
  <si>
    <t>Supply Chain Costs - Module Price Premium due to historical inventory</t>
  </si>
  <si>
    <t>Supply Chain Costs - Module due to small-scall procurement</t>
  </si>
  <si>
    <t>Supply Chain Costs - Module shipping and handling</t>
  </si>
  <si>
    <t>California</t>
  </si>
  <si>
    <t>String Inverter Cost ($/Wac)</t>
  </si>
  <si>
    <t>DC Optimizer Cost ($/Wac)</t>
  </si>
  <si>
    <t>Microinverter Cost ($/Wac)</t>
  </si>
  <si>
    <t>Module Count</t>
  </si>
  <si>
    <t>LG370Q1C-V5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</si>
</sst>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9" fontId="0" fillId="0" borderId="0" xfId="0" applyNumberFormat="1"/>
    <xf numFmtId="10" fontId="0" fillId="0" borderId="0" xfId="0" applyNumberFormat="1"/>
    <xf numFmtId="0" fontId="16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left"/>
    </xf>
    <xf numFmtId="0" fontId="16" fillId="33" borderId="0" xfId="0" applyFont="1" applyFill="1" applyAlignment="1">
      <alignment horizontal="center"/>
    </xf>
    <xf numFmtId="0" fontId="16" fillId="34" borderId="0" xfId="0" applyFont="1" applyFill="1"/>
    <xf numFmtId="0" fontId="16" fillId="34" borderId="0" xfId="0" applyFont="1" applyFill="1" applyAlignment="1">
      <alignment horizontal="center"/>
    </xf>
    <xf numFmtId="0" fontId="0" fillId="34" borderId="0" xfId="0" applyFill="1"/>
    <xf numFmtId="0" fontId="0" fillId="0" borderId="0" xfId="0" applyFill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right"/>
    </xf>
    <xf numFmtId="9" fontId="0" fillId="0" borderId="0" xfId="0" applyNumberFormat="1" applyAlignment="1">
      <alignment horizontal="right"/>
    </xf>
    <xf numFmtId="0" fontId="0" fillId="0" borderId="0" xfId="0" applyNumberFormat="1"/>
    <xf numFmtId="0" fontId="18" fillId="34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0" fillId="35" borderId="0" xfId="0" applyFill="1" applyAlignment="1">
      <alignment horizontal="right"/>
    </xf>
    <xf numFmtId="10" fontId="0" fillId="35" borderId="0" xfId="0" applyNumberFormat="1" applyFill="1"/>
    <xf numFmtId="0" fontId="0" fillId="35" borderId="0" xfId="0" applyFill="1"/>
    <xf numFmtId="44" fontId="0" fillId="35" borderId="0" xfId="0" applyNumberFormat="1" applyFill="1"/>
    <xf numFmtId="2" fontId="0" fillId="35" borderId="0" xfId="0" applyNumberFormat="1" applyFill="1"/>
    <xf numFmtId="9" fontId="0" fillId="35" borderId="0" xfId="0" applyNumberFormat="1" applyFill="1" applyBorder="1"/>
    <xf numFmtId="164" fontId="0" fillId="35" borderId="0" xfId="0" applyNumberFormat="1" applyFill="1" applyBorder="1"/>
    <xf numFmtId="164" fontId="0" fillId="35" borderId="0" xfId="42" applyNumberFormat="1" applyFont="1" applyFill="1" applyBorder="1"/>
    <xf numFmtId="9" fontId="0" fillId="0" borderId="0" xfId="42" applyFont="1"/>
    <xf numFmtId="44" fontId="0" fillId="0" borderId="0" xfId="0" applyNumberFormat="1"/>
    <xf numFmtId="44" fontId="0" fillId="0" borderId="0" xfId="43" applyFont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topLeftCell="A11" zoomScaleNormal="100" workbookViewId="0">
      <selection activeCell="B43" sqref="B43"/>
    </sheetView>
  </sheetViews>
  <sheetFormatPr baseColWidth="10" defaultColWidth="8.83203125" defaultRowHeight="15" x14ac:dyDescent="0.2"/>
  <cols>
    <col min="1" max="1" width="43" bestFit="1" customWidth="1"/>
    <col min="2" max="2" width="24.33203125" bestFit="1" customWidth="1"/>
    <col min="3" max="3" width="13.33203125" bestFit="1" customWidth="1"/>
    <col min="5" max="5" width="22.5" bestFit="1" customWidth="1"/>
  </cols>
  <sheetData>
    <row r="1" spans="1:6" x14ac:dyDescent="0.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6" x14ac:dyDescent="0.2">
      <c r="A2" s="8" t="s">
        <v>5</v>
      </c>
      <c r="B2" s="9" t="s">
        <v>19</v>
      </c>
      <c r="C2" s="10"/>
      <c r="D2" s="10"/>
      <c r="E2" s="10"/>
    </row>
    <row r="3" spans="1:6" x14ac:dyDescent="0.2">
      <c r="A3" t="s">
        <v>51</v>
      </c>
      <c r="B3" s="4" t="b">
        <v>0</v>
      </c>
    </row>
    <row r="4" spans="1:6" x14ac:dyDescent="0.2">
      <c r="A4" t="s">
        <v>52</v>
      </c>
      <c r="B4" s="4" t="b">
        <v>1</v>
      </c>
    </row>
    <row r="5" spans="1:6" x14ac:dyDescent="0.2">
      <c r="A5" t="s">
        <v>6</v>
      </c>
      <c r="B5" s="4" t="s">
        <v>97</v>
      </c>
    </row>
    <row r="6" spans="1:6" x14ac:dyDescent="0.2">
      <c r="A6" t="s">
        <v>7</v>
      </c>
      <c r="B6" s="4" t="s">
        <v>8</v>
      </c>
    </row>
    <row r="7" spans="1:6" x14ac:dyDescent="0.2">
      <c r="A7" t="s">
        <v>80</v>
      </c>
      <c r="B7" s="4" t="s">
        <v>81</v>
      </c>
    </row>
    <row r="8" spans="1:6" x14ac:dyDescent="0.2">
      <c r="A8" t="s">
        <v>9</v>
      </c>
      <c r="B8" s="18">
        <v>2022</v>
      </c>
    </row>
    <row r="9" spans="1:6" x14ac:dyDescent="0.2">
      <c r="A9" t="s">
        <v>62</v>
      </c>
      <c r="B9" s="4" t="b">
        <v>0</v>
      </c>
    </row>
    <row r="10" spans="1:6" x14ac:dyDescent="0.2">
      <c r="A10" t="s">
        <v>64</v>
      </c>
      <c r="B10" s="4">
        <v>12000</v>
      </c>
    </row>
    <row r="11" spans="1:6" x14ac:dyDescent="0.2">
      <c r="A11" t="s">
        <v>63</v>
      </c>
      <c r="B11" s="4" t="b">
        <v>1</v>
      </c>
    </row>
    <row r="12" spans="1:6" x14ac:dyDescent="0.2">
      <c r="A12" t="s">
        <v>90</v>
      </c>
      <c r="B12" s="4">
        <v>3000</v>
      </c>
    </row>
    <row r="13" spans="1:6" x14ac:dyDescent="0.2">
      <c r="A13" s="8" t="s">
        <v>53</v>
      </c>
      <c r="B13" s="9" t="s">
        <v>25</v>
      </c>
      <c r="C13" s="8" t="s">
        <v>54</v>
      </c>
      <c r="D13" s="8" t="s">
        <v>27</v>
      </c>
      <c r="E13" s="10"/>
    </row>
    <row r="14" spans="1:6" x14ac:dyDescent="0.2">
      <c r="A14" t="s">
        <v>55</v>
      </c>
      <c r="B14" s="4">
        <v>27.9</v>
      </c>
      <c r="C14">
        <v>42</v>
      </c>
      <c r="D14">
        <v>54.3</v>
      </c>
    </row>
    <row r="15" spans="1:6" x14ac:dyDescent="0.2">
      <c r="A15" t="s">
        <v>56</v>
      </c>
      <c r="B15" s="14">
        <v>0.75</v>
      </c>
      <c r="C15" s="1">
        <v>0.88</v>
      </c>
      <c r="D15" s="1">
        <v>0.95</v>
      </c>
      <c r="F15">
        <f>C14*C15</f>
        <v>36.96</v>
      </c>
    </row>
    <row r="16" spans="1:6" x14ac:dyDescent="0.2">
      <c r="A16" t="s">
        <v>58</v>
      </c>
      <c r="B16" s="1">
        <v>0.8</v>
      </c>
      <c r="C16" s="1">
        <v>0</v>
      </c>
      <c r="D16" s="1">
        <v>0.4</v>
      </c>
      <c r="F16">
        <f>F15/1.78</f>
        <v>20.764044943820224</v>
      </c>
    </row>
    <row r="17" spans="1:9" x14ac:dyDescent="0.2">
      <c r="A17" t="s">
        <v>61</v>
      </c>
      <c r="B17" s="1">
        <v>0.1</v>
      </c>
      <c r="C17" s="1">
        <v>0.17</v>
      </c>
      <c r="D17" s="1">
        <v>0.2</v>
      </c>
    </row>
    <row r="18" spans="1:9" x14ac:dyDescent="0.2">
      <c r="A18" t="s">
        <v>57</v>
      </c>
      <c r="B18" s="1">
        <v>0.05</v>
      </c>
      <c r="C18" s="1">
        <v>0.15</v>
      </c>
      <c r="D18" s="1">
        <v>0.15</v>
      </c>
    </row>
    <row r="19" spans="1:9" ht="17" x14ac:dyDescent="0.2">
      <c r="A19" s="8"/>
      <c r="B19" s="16" t="s">
        <v>68</v>
      </c>
      <c r="C19" s="16" t="s">
        <v>69</v>
      </c>
      <c r="D19" s="8"/>
      <c r="E19" s="8"/>
    </row>
    <row r="20" spans="1:9" x14ac:dyDescent="0.2">
      <c r="A20" t="s">
        <v>67</v>
      </c>
      <c r="B20" s="1">
        <v>0.25874000000000003</v>
      </c>
      <c r="C20" s="1">
        <v>0.12937000000000001</v>
      </c>
      <c r="D20" s="1"/>
      <c r="E20" s="26">
        <f>G20*(1+29.37%)</f>
        <v>0.25874000000000003</v>
      </c>
      <c r="F20" s="26">
        <f>H20*(1+29.37%)</f>
        <v>0.12937000000000001</v>
      </c>
      <c r="G20">
        <v>0.2</v>
      </c>
      <c r="H20">
        <v>0.1</v>
      </c>
    </row>
    <row r="21" spans="1:9" ht="32" x14ac:dyDescent="0.2">
      <c r="A21" s="17" t="s">
        <v>94</v>
      </c>
      <c r="B21" s="1">
        <v>7.7621999999999997E-2</v>
      </c>
      <c r="C21" s="1">
        <v>7.7621999999999997E-2</v>
      </c>
      <c r="D21" s="1"/>
      <c r="E21" s="26">
        <f t="shared" ref="E21:E23" si="0">G21*(1+29.37%)</f>
        <v>7.7621999999999997E-2</v>
      </c>
      <c r="F21" s="26">
        <f t="shared" ref="F21:F23" si="1">H21*(1+29.37%)</f>
        <v>7.7621999999999997E-2</v>
      </c>
      <c r="G21">
        <v>0.06</v>
      </c>
      <c r="H21">
        <v>0.06</v>
      </c>
    </row>
    <row r="22" spans="1:9" ht="32" x14ac:dyDescent="0.2">
      <c r="A22" s="17" t="s">
        <v>95</v>
      </c>
      <c r="B22" s="1">
        <v>0.25874000000000003</v>
      </c>
      <c r="C22" s="1">
        <v>0</v>
      </c>
      <c r="D22" s="1"/>
      <c r="E22" s="26">
        <f t="shared" si="0"/>
        <v>0.25874000000000003</v>
      </c>
      <c r="F22" s="26">
        <f t="shared" si="1"/>
        <v>0</v>
      </c>
      <c r="G22">
        <v>0.2</v>
      </c>
      <c r="H22">
        <v>0</v>
      </c>
    </row>
    <row r="23" spans="1:9" ht="16" x14ac:dyDescent="0.2">
      <c r="A23" s="17" t="s">
        <v>96</v>
      </c>
      <c r="B23" s="1">
        <v>0.19405500000000001</v>
      </c>
      <c r="C23" s="1">
        <v>0.19405500000000001</v>
      </c>
      <c r="D23" s="1"/>
      <c r="E23" s="26">
        <f t="shared" si="0"/>
        <v>0.19405500000000001</v>
      </c>
      <c r="F23" s="26">
        <f t="shared" si="1"/>
        <v>0.19405500000000001</v>
      </c>
      <c r="G23">
        <v>0.15</v>
      </c>
      <c r="H23">
        <v>0.15</v>
      </c>
    </row>
    <row r="24" spans="1:9" x14ac:dyDescent="0.2">
      <c r="A24" s="8" t="s">
        <v>10</v>
      </c>
      <c r="B24" s="9" t="s">
        <v>11</v>
      </c>
      <c r="C24" s="9" t="s">
        <v>12</v>
      </c>
      <c r="D24" s="9" t="s">
        <v>13</v>
      </c>
      <c r="E24" s="10"/>
    </row>
    <row r="25" spans="1:9" x14ac:dyDescent="0.2">
      <c r="A25" t="s">
        <v>14</v>
      </c>
      <c r="B25" s="5" t="s">
        <v>15</v>
      </c>
    </row>
    <row r="26" spans="1:9" x14ac:dyDescent="0.2">
      <c r="A26" t="s">
        <v>16</v>
      </c>
      <c r="C26" s="1">
        <v>0.05</v>
      </c>
      <c r="D26" s="1">
        <v>0.1</v>
      </c>
    </row>
    <row r="27" spans="1:9" x14ac:dyDescent="0.2">
      <c r="A27" t="s">
        <v>17</v>
      </c>
      <c r="C27" s="1">
        <v>0.01</v>
      </c>
      <c r="D27" s="1">
        <v>0.05</v>
      </c>
    </row>
    <row r="28" spans="1:9" x14ac:dyDescent="0.2">
      <c r="A28" s="8" t="s">
        <v>18</v>
      </c>
      <c r="B28" s="9" t="s">
        <v>19</v>
      </c>
      <c r="C28" s="10"/>
      <c r="D28" s="10"/>
      <c r="E28" s="10"/>
    </row>
    <row r="29" spans="1:9" x14ac:dyDescent="0.2">
      <c r="A29" t="s">
        <v>20</v>
      </c>
      <c r="B29" s="4" t="s">
        <v>102</v>
      </c>
    </row>
    <row r="30" spans="1:9" x14ac:dyDescent="0.2">
      <c r="A30" t="s">
        <v>21</v>
      </c>
      <c r="B30" s="19">
        <v>0.20300000000000001</v>
      </c>
    </row>
    <row r="31" spans="1:9" x14ac:dyDescent="0.2">
      <c r="A31" t="s">
        <v>22</v>
      </c>
      <c r="B31" s="21">
        <v>0.37</v>
      </c>
      <c r="I31">
        <f>6750/462</f>
        <v>14.61038961038961</v>
      </c>
    </row>
    <row r="32" spans="1:9" x14ac:dyDescent="0.2">
      <c r="A32" t="s">
        <v>65</v>
      </c>
      <c r="B32">
        <v>1</v>
      </c>
      <c r="D32">
        <v>0.99</v>
      </c>
      <c r="E32">
        <v>1</v>
      </c>
    </row>
    <row r="33" spans="1:5" x14ac:dyDescent="0.2">
      <c r="A33" t="s">
        <v>66</v>
      </c>
      <c r="B33">
        <v>1.77</v>
      </c>
      <c r="D33">
        <v>1.65</v>
      </c>
      <c r="E33">
        <v>1.8220000000000001</v>
      </c>
    </row>
    <row r="34" spans="1:5" x14ac:dyDescent="0.2">
      <c r="A34" t="s">
        <v>75</v>
      </c>
      <c r="B34">
        <v>1</v>
      </c>
    </row>
    <row r="35" spans="1:5" x14ac:dyDescent="0.2">
      <c r="A35" t="s">
        <v>76</v>
      </c>
      <c r="B35">
        <v>1.5</v>
      </c>
      <c r="D35">
        <f>B33*B32*1000*B30</f>
        <v>359.31</v>
      </c>
      <c r="E35">
        <f>E33*E32*1000*B30</f>
        <v>369.86600000000004</v>
      </c>
    </row>
    <row r="36" spans="1:5" x14ac:dyDescent="0.2">
      <c r="A36" t="s">
        <v>101</v>
      </c>
      <c r="B36">
        <v>22</v>
      </c>
      <c r="D36">
        <f>D35*B36</f>
        <v>7904.82</v>
      </c>
      <c r="E36">
        <f>E35*B36</f>
        <v>8137.0520000000006</v>
      </c>
    </row>
    <row r="37" spans="1:5" x14ac:dyDescent="0.2">
      <c r="A37" t="s">
        <v>77</v>
      </c>
      <c r="B37">
        <v>10</v>
      </c>
    </row>
    <row r="38" spans="1:5" x14ac:dyDescent="0.2">
      <c r="A38" s="8" t="s">
        <v>23</v>
      </c>
      <c r="B38" s="9" t="s">
        <v>19</v>
      </c>
      <c r="C38" s="10"/>
      <c r="D38" s="10"/>
      <c r="E38" s="10"/>
    </row>
    <row r="39" spans="1:5" x14ac:dyDescent="0.2">
      <c r="A39" s="12" t="s">
        <v>71</v>
      </c>
      <c r="B39" s="13" t="s">
        <v>74</v>
      </c>
      <c r="C39" s="11"/>
      <c r="D39" s="11"/>
      <c r="E39" s="11" t="s">
        <v>72</v>
      </c>
    </row>
    <row r="40" spans="1:5" x14ac:dyDescent="0.2">
      <c r="A40" t="s">
        <v>70</v>
      </c>
      <c r="B40">
        <v>0.8</v>
      </c>
      <c r="E40" t="s">
        <v>73</v>
      </c>
    </row>
    <row r="41" spans="1:5" x14ac:dyDescent="0.2">
      <c r="A41" t="s">
        <v>91</v>
      </c>
      <c r="B41" s="20">
        <v>1.06</v>
      </c>
      <c r="E41" t="s">
        <v>74</v>
      </c>
    </row>
    <row r="42" spans="1:5" x14ac:dyDescent="0.2">
      <c r="A42" t="s">
        <v>92</v>
      </c>
      <c r="B42" s="20">
        <v>1.21</v>
      </c>
    </row>
    <row r="43" spans="1:5" x14ac:dyDescent="0.2">
      <c r="A43" t="s">
        <v>93</v>
      </c>
      <c r="B43" s="20">
        <v>1.08</v>
      </c>
    </row>
    <row r="44" spans="1:5" x14ac:dyDescent="0.2">
      <c r="A44" t="s">
        <v>98</v>
      </c>
      <c r="B44" s="22">
        <v>0.16400000000000001</v>
      </c>
      <c r="D44" s="27"/>
    </row>
    <row r="45" spans="1:5" x14ac:dyDescent="0.2">
      <c r="A45" t="s">
        <v>99</v>
      </c>
      <c r="B45" s="22">
        <v>0.34038254403609125</v>
      </c>
      <c r="D45" s="28"/>
    </row>
    <row r="46" spans="1:5" x14ac:dyDescent="0.2">
      <c r="A46" t="s">
        <v>100</v>
      </c>
      <c r="B46" s="22">
        <v>0.39900000000000002</v>
      </c>
    </row>
    <row r="47" spans="1:5" x14ac:dyDescent="0.2">
      <c r="A47" s="8" t="s">
        <v>78</v>
      </c>
      <c r="B47" s="9" t="s">
        <v>68</v>
      </c>
      <c r="C47" s="8" t="s">
        <v>69</v>
      </c>
      <c r="D47" s="10"/>
      <c r="E47" s="10"/>
    </row>
    <row r="48" spans="1:5" x14ac:dyDescent="0.2">
      <c r="A48" t="s">
        <v>79</v>
      </c>
      <c r="B48" s="23">
        <v>0.63</v>
      </c>
      <c r="C48" s="23">
        <v>0.37</v>
      </c>
    </row>
    <row r="49" spans="1:6" x14ac:dyDescent="0.2">
      <c r="A49" t="s">
        <v>72</v>
      </c>
      <c r="B49" s="25">
        <v>0.09</v>
      </c>
      <c r="C49" s="23"/>
    </row>
    <row r="50" spans="1:6" x14ac:dyDescent="0.2">
      <c r="A50" t="s">
        <v>73</v>
      </c>
      <c r="B50" s="24">
        <v>0.45</v>
      </c>
      <c r="C50" s="23"/>
    </row>
    <row r="51" spans="1:6" x14ac:dyDescent="0.2">
      <c r="A51" t="s">
        <v>74</v>
      </c>
      <c r="B51" s="24">
        <v>0.46</v>
      </c>
      <c r="C51" s="23"/>
    </row>
    <row r="52" spans="1:6" x14ac:dyDescent="0.2">
      <c r="A52" s="8" t="s">
        <v>24</v>
      </c>
      <c r="B52" s="9" t="s">
        <v>25</v>
      </c>
      <c r="C52" s="9" t="s">
        <v>26</v>
      </c>
      <c r="D52" s="9" t="s">
        <v>27</v>
      </c>
      <c r="E52" s="9" t="s">
        <v>28</v>
      </c>
      <c r="F52" s="3"/>
    </row>
    <row r="53" spans="1:6" x14ac:dyDescent="0.2">
      <c r="A53" t="s">
        <v>29</v>
      </c>
      <c r="B53">
        <v>0.77</v>
      </c>
      <c r="C53">
        <v>1</v>
      </c>
      <c r="D53">
        <v>1.1499999999999999</v>
      </c>
      <c r="E53">
        <v>0.98670000000000002</v>
      </c>
    </row>
    <row r="54" spans="1:6" x14ac:dyDescent="0.2">
      <c r="A54" t="s">
        <v>30</v>
      </c>
      <c r="B54">
        <v>0.1</v>
      </c>
      <c r="C54">
        <v>0.15</v>
      </c>
      <c r="D54">
        <v>0.2</v>
      </c>
    </row>
    <row r="55" spans="1:6" x14ac:dyDescent="0.2">
      <c r="A55" t="s">
        <v>31</v>
      </c>
      <c r="B55">
        <v>0.05</v>
      </c>
      <c r="C55">
        <v>0.1</v>
      </c>
      <c r="D55">
        <v>0.15</v>
      </c>
    </row>
    <row r="56" spans="1:6" x14ac:dyDescent="0.2">
      <c r="A56" t="s">
        <v>32</v>
      </c>
      <c r="B56">
        <v>0.5</v>
      </c>
      <c r="C56">
        <v>1</v>
      </c>
      <c r="D56">
        <v>2</v>
      </c>
      <c r="E56">
        <v>1.0832999999999999</v>
      </c>
    </row>
    <row r="57" spans="1:6" x14ac:dyDescent="0.2">
      <c r="A57" t="s">
        <v>33</v>
      </c>
      <c r="B57">
        <v>0.83</v>
      </c>
      <c r="C57">
        <v>1</v>
      </c>
      <c r="D57">
        <v>2.08</v>
      </c>
      <c r="E57">
        <v>1.1516999999999999</v>
      </c>
    </row>
    <row r="58" spans="1:6" x14ac:dyDescent="0.2">
      <c r="A58" t="s">
        <v>34</v>
      </c>
      <c r="B58">
        <v>0.19</v>
      </c>
      <c r="C58">
        <v>1</v>
      </c>
      <c r="D58">
        <v>1.37</v>
      </c>
      <c r="E58">
        <v>0.92669999999999997</v>
      </c>
    </row>
    <row r="59" spans="1:6" x14ac:dyDescent="0.2">
      <c r="A59" t="s">
        <v>35</v>
      </c>
      <c r="B59">
        <v>0.03</v>
      </c>
      <c r="C59">
        <v>0.04</v>
      </c>
      <c r="D59">
        <v>0.05</v>
      </c>
      <c r="E59">
        <v>0.03</v>
      </c>
    </row>
    <row r="60" spans="1:6" x14ac:dyDescent="0.2">
      <c r="A60" t="s">
        <v>36</v>
      </c>
      <c r="B60">
        <v>0.25</v>
      </c>
      <c r="C60">
        <v>1</v>
      </c>
      <c r="D60">
        <v>1.75</v>
      </c>
      <c r="E60">
        <v>1</v>
      </c>
    </row>
    <row r="61" spans="1:6" x14ac:dyDescent="0.2">
      <c r="A61" t="s">
        <v>37</v>
      </c>
      <c r="B61">
        <v>0</v>
      </c>
      <c r="C61">
        <v>1</v>
      </c>
      <c r="D61">
        <v>5</v>
      </c>
      <c r="E61">
        <v>1</v>
      </c>
    </row>
    <row r="62" spans="1:6" x14ac:dyDescent="0.2">
      <c r="A62" s="8" t="s">
        <v>38</v>
      </c>
      <c r="B62" s="9" t="s">
        <v>19</v>
      </c>
      <c r="C62" s="10"/>
      <c r="D62" s="10"/>
      <c r="E62" s="10"/>
    </row>
    <row r="63" spans="1:6" x14ac:dyDescent="0.2">
      <c r="A63" t="s">
        <v>39</v>
      </c>
      <c r="B63">
        <v>0.98670000000000002</v>
      </c>
    </row>
    <row r="64" spans="1:6" x14ac:dyDescent="0.2">
      <c r="A64" t="s">
        <v>49</v>
      </c>
      <c r="B64">
        <v>0.9</v>
      </c>
    </row>
    <row r="65" spans="1:5" x14ac:dyDescent="0.2">
      <c r="A65" s="8" t="s">
        <v>40</v>
      </c>
      <c r="B65" s="9" t="s">
        <v>41</v>
      </c>
      <c r="C65" s="10"/>
      <c r="D65" s="10"/>
      <c r="E65" s="10"/>
    </row>
    <row r="66" spans="1:5" x14ac:dyDescent="0.2">
      <c r="A66" t="s">
        <v>42</v>
      </c>
      <c r="B66" s="4" t="s">
        <v>43</v>
      </c>
    </row>
    <row r="67" spans="1:5" x14ac:dyDescent="0.2">
      <c r="A67" t="s">
        <v>44</v>
      </c>
      <c r="B67" s="4" t="s">
        <v>45</v>
      </c>
    </row>
    <row r="68" spans="1:5" x14ac:dyDescent="0.2">
      <c r="A68" t="s">
        <v>46</v>
      </c>
      <c r="B68" s="4" t="s">
        <v>47</v>
      </c>
    </row>
    <row r="69" spans="1:5" x14ac:dyDescent="0.2">
      <c r="A69" t="s">
        <v>50</v>
      </c>
      <c r="B69" s="14">
        <v>0</v>
      </c>
    </row>
    <row r="70" spans="1:5" x14ac:dyDescent="0.2">
      <c r="A70" s="8" t="s">
        <v>59</v>
      </c>
      <c r="B70" s="9" t="s">
        <v>19</v>
      </c>
      <c r="C70" s="10"/>
      <c r="D70" s="10"/>
      <c r="E70" s="10"/>
    </row>
    <row r="71" spans="1:5" x14ac:dyDescent="0.2">
      <c r="A71" t="s">
        <v>89</v>
      </c>
      <c r="B71">
        <v>19</v>
      </c>
    </row>
    <row r="72" spans="1:5" x14ac:dyDescent="0.2">
      <c r="A72" t="s">
        <v>87</v>
      </c>
      <c r="B72">
        <v>6</v>
      </c>
    </row>
    <row r="73" spans="1:5" x14ac:dyDescent="0.2">
      <c r="A73" t="s">
        <v>60</v>
      </c>
      <c r="B73" s="2">
        <v>0.13800000000000001</v>
      </c>
    </row>
    <row r="74" spans="1:5" x14ac:dyDescent="0.2">
      <c r="A74" t="s">
        <v>83</v>
      </c>
      <c r="B74" s="2">
        <v>0.08</v>
      </c>
    </row>
    <row r="75" spans="1:5" x14ac:dyDescent="0.2">
      <c r="A75" t="s">
        <v>84</v>
      </c>
      <c r="B75" s="2">
        <v>7.6499999999999999E-2</v>
      </c>
    </row>
    <row r="76" spans="1:5" x14ac:dyDescent="0.2">
      <c r="A76" t="s">
        <v>85</v>
      </c>
      <c r="B76" s="2">
        <v>8.0000000000000002E-3</v>
      </c>
    </row>
    <row r="77" spans="1:5" x14ac:dyDescent="0.2">
      <c r="A77" t="s">
        <v>86</v>
      </c>
      <c r="B77" s="2">
        <v>2.0199999999999999E-2</v>
      </c>
      <c r="D77" s="2"/>
    </row>
    <row r="78" spans="1:5" x14ac:dyDescent="0.2">
      <c r="A78" t="s">
        <v>48</v>
      </c>
      <c r="B78">
        <v>1.4999999999999999E-2</v>
      </c>
    </row>
    <row r="79" spans="1:5" x14ac:dyDescent="0.2">
      <c r="A79" t="s">
        <v>82</v>
      </c>
      <c r="B79">
        <v>1</v>
      </c>
    </row>
    <row r="80" spans="1:5" x14ac:dyDescent="0.2">
      <c r="A80" t="s">
        <v>88</v>
      </c>
      <c r="B80" s="15">
        <v>200</v>
      </c>
    </row>
  </sheetData>
  <dataValidations count="1">
    <dataValidation type="list" allowBlank="1" showInputMessage="1" showErrorMessage="1" sqref="B39" xr:uid="{B00E7DCC-76ED-4C6E-8E2E-5AD5584B6551}">
      <formula1>$E$39:$E$41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Microsoft Office User</cp:lastModifiedBy>
  <dcterms:created xsi:type="dcterms:W3CDTF">2019-02-28T17:35:55Z</dcterms:created>
  <dcterms:modified xsi:type="dcterms:W3CDTF">2022-08-18T19:34:54Z</dcterms:modified>
</cp:coreProperties>
</file>