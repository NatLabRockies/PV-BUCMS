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ramasam/Desktop/system_cost_models/2022_Models/Market Data Models/pv_benchmark/Utility_System_Benchmark_Model/input_data/"/>
    </mc:Choice>
  </mc:AlternateContent>
  <xr:revisionPtr revIDLastSave="0" documentId="13_ncr:1_{3D94810C-3B46-5A42-8256-2009946343FC}" xr6:coauthVersionLast="47" xr6:coauthVersionMax="47" xr10:uidLastSave="{00000000-0000-0000-0000-000000000000}"/>
  <bookViews>
    <workbookView xWindow="0" yWindow="460" windowWidth="12920" windowHeight="20540" xr2:uid="{FAFB4A4D-705E-4882-B28C-A28CF9870081}"/>
  </bookViews>
  <sheets>
    <sheet name="Labor" sheetId="1" r:id="rId1"/>
    <sheet name="Labor Weight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</calcChain>
</file>

<file path=xl/sharedStrings.xml><?xml version="1.0" encoding="utf-8"?>
<sst xmlns="http://schemas.openxmlformats.org/spreadsheetml/2006/main" count="54" uniqueCount="54">
  <si>
    <t>If 20% labor time is saved by using kitting or better logistics</t>
  </si>
  <si>
    <t>Federal and State Unemployment Cost</t>
  </si>
  <si>
    <t>Social Security Taxes (FICA)</t>
  </si>
  <si>
    <t>Builder's Risk Insurance Cost</t>
  </si>
  <si>
    <t>Public Liability Cost</t>
  </si>
  <si>
    <t>Description</t>
  </si>
  <si>
    <t>Value</t>
  </si>
  <si>
    <t>Common Laborers</t>
  </si>
  <si>
    <t>Electricians</t>
  </si>
  <si>
    <t>Equipment Operators</t>
  </si>
  <si>
    <t>Common Laborers Overhead</t>
  </si>
  <si>
    <t>Electricians Overhead</t>
  </si>
  <si>
    <t>Equipment Operators Overhead</t>
  </si>
  <si>
    <t>Profit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</si>
  <si>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</si>
  <si>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</si>
  <si>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</si>
  <si>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</si>
  <si>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</si>
  <si>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</si>
  <si>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</si>
  <si>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</si>
  <si>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</si>
  <si>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</si>
  <si>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</si>
  <si>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</si>
  <si>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</si>
  <si>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</si>
  <si>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</si>
  <si>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</si>
  <si>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</si>
  <si>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</si>
  <si>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</si>
  <si>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</si>
  <si>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</si>
  <si>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</si>
  <si>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</si>
  <si>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</si>
  <si>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</si>
  <si>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</si>
  <si>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</si>
  <si>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</si>
  <si>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</si>
  <si>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</si>
  <si>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</si>
  <si>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</si>
  <si>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</si>
  <si>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</si>
  <si>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</si>
  <si>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</si>
  <si>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</si>
  <si>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</si>
  <si>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</si>
  <si>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Avg. Worker compensation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</si>
</sst>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¥&quot;* #,##0.00_ ;_ &quot;¥&quot;* \-#,##0.00_ ;_ &quot;¥&quot;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/>
    <xf numFmtId="10" fontId="0" fillId="0" borderId="0" xfId="0" applyNumberFormat="1" applyBorder="1"/>
    <xf numFmtId="0" fontId="0" fillId="0" borderId="0" xfId="0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0" fontId="0" fillId="0" borderId="0" xfId="0" applyFill="1" applyBorder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7095-C52F-426D-9650-A3FF313D06B2}">
  <dimension ref="A1:C17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49.5" bestFit="1" customWidth="1"/>
  </cols>
  <sheetData>
    <row r="1" spans="1:3" x14ac:dyDescent="0.2">
      <c r="A1" t="s">
        <v>5</v>
      </c>
      <c r="B1" t="s">
        <v>6</v>
      </c>
    </row>
    <row r="2" spans="1:3" x14ac:dyDescent="0.2">
      <c r="A2" s="1" t="s">
        <v>0</v>
      </c>
      <c r="B2" s="7" t="b">
        <v>0</v>
      </c>
    </row>
    <row r="3" spans="1:3" x14ac:dyDescent="0.2">
      <c r="A3" s="1" t="s">
        <v>1</v>
      </c>
      <c r="B3" s="2">
        <v>0.08</v>
      </c>
    </row>
    <row r="4" spans="1:3" x14ac:dyDescent="0.2">
      <c r="A4" s="1" t="s">
        <v>2</v>
      </c>
      <c r="B4" s="2">
        <v>7.6499999999999999E-2</v>
      </c>
    </row>
    <row r="5" spans="1:3" x14ac:dyDescent="0.2">
      <c r="A5" s="1" t="s">
        <v>3</v>
      </c>
      <c r="B5" s="2">
        <v>8.0000000000000002E-3</v>
      </c>
    </row>
    <row r="6" spans="1:3" x14ac:dyDescent="0.2">
      <c r="A6" s="1" t="s">
        <v>4</v>
      </c>
      <c r="B6" s="2">
        <v>2.0199999999999999E-2</v>
      </c>
    </row>
    <row r="7" spans="1:3" x14ac:dyDescent="0.2">
      <c r="A7" s="3" t="s">
        <v>10</v>
      </c>
      <c r="B7" s="8">
        <v>0.11</v>
      </c>
    </row>
    <row r="8" spans="1:3" x14ac:dyDescent="0.2">
      <c r="A8" s="3" t="s">
        <v>11</v>
      </c>
      <c r="B8" s="8">
        <v>0.16</v>
      </c>
    </row>
    <row r="9" spans="1:3" x14ac:dyDescent="0.2">
      <c r="A9" s="3" t="s">
        <v>12</v>
      </c>
      <c r="B9" s="8">
        <v>0.14000000000000001</v>
      </c>
    </row>
    <row r="10" spans="1:3" x14ac:dyDescent="0.2">
      <c r="A10" s="3" t="s">
        <v>13</v>
      </c>
      <c r="B10" s="8">
        <v>0.1</v>
      </c>
    </row>
    <row r="12" spans="1:3" x14ac:dyDescent="0.2">
      <c r="B12" s="8">
        <v>0.13300000000000001</v>
      </c>
      <c r="C12" t="s">
        <v>53</v>
      </c>
    </row>
    <row r="14" spans="1:3" x14ac:dyDescent="0.2">
      <c r="B14" s="8">
        <f>SUM(B3:B6,B12,B10)</f>
        <v>0.41769999999999996</v>
      </c>
    </row>
    <row r="15" spans="1:3" x14ac:dyDescent="0.2">
      <c r="B15" s="8">
        <f>B14+B9</f>
        <v>0.55769999999999997</v>
      </c>
    </row>
    <row r="16" spans="1:3" x14ac:dyDescent="0.2">
      <c r="B16" s="8">
        <f>B14+B9</f>
        <v>0.55769999999999997</v>
      </c>
    </row>
    <row r="17" spans="2:2" x14ac:dyDescent="0.2">
      <c r="B17" s="8">
        <f>B14+B7</f>
        <v>0.52769999999999995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D01C-C0D4-46C1-8BB0-06D57FD75DAA}">
  <dimension ref="A1:AN5"/>
  <sheetViews>
    <sheetView topLeftCell="J1" workbookViewId="0">
      <selection activeCell="T8" sqref="T8"/>
    </sheetView>
  </sheetViews>
  <sheetFormatPr baseColWidth="10" defaultColWidth="8.83203125" defaultRowHeight="15" x14ac:dyDescent="0.2"/>
  <cols>
    <col min="1" max="1" width="19.6640625" bestFit="1" customWidth="1"/>
  </cols>
  <sheetData>
    <row r="1" spans="1:40" x14ac:dyDescent="0.2">
      <c r="A1" s="1"/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4" t="s">
        <v>41</v>
      </c>
      <c r="AD1" s="4" t="s">
        <v>42</v>
      </c>
      <c r="AE1" s="4" t="s">
        <v>43</v>
      </c>
      <c r="AF1" s="4" t="s">
        <v>44</v>
      </c>
      <c r="AG1" s="4" t="s">
        <v>45</v>
      </c>
      <c r="AH1" s="6" t="s">
        <v>46</v>
      </c>
      <c r="AI1" s="1" t="s">
        <v>47</v>
      </c>
      <c r="AJ1" s="1" t="s">
        <v>48</v>
      </c>
      <c r="AK1" s="6" t="s">
        <v>49</v>
      </c>
      <c r="AL1" s="1" t="s">
        <v>50</v>
      </c>
      <c r="AM1" s="1" t="s">
        <v>51</v>
      </c>
      <c r="AN1" s="6" t="s">
        <v>52</v>
      </c>
    </row>
    <row r="2" spans="1:40" x14ac:dyDescent="0.2">
      <c r="A2" s="3" t="s">
        <v>7</v>
      </c>
      <c r="B2">
        <v>3</v>
      </c>
      <c r="C2">
        <v>5</v>
      </c>
      <c r="D2">
        <v>2</v>
      </c>
      <c r="E2">
        <v>2</v>
      </c>
      <c r="F2">
        <v>2</v>
      </c>
      <c r="G2">
        <v>2</v>
      </c>
      <c r="H2">
        <v>1</v>
      </c>
      <c r="I2">
        <v>5</v>
      </c>
      <c r="J2">
        <v>5</v>
      </c>
      <c r="K2">
        <v>1</v>
      </c>
      <c r="L2">
        <v>1</v>
      </c>
      <c r="M2">
        <v>6</v>
      </c>
      <c r="N2">
        <v>1</v>
      </c>
      <c r="O2">
        <v>1</v>
      </c>
      <c r="P2">
        <v>5</v>
      </c>
      <c r="Q2">
        <v>1</v>
      </c>
      <c r="R2">
        <v>4</v>
      </c>
      <c r="S2">
        <v>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</v>
      </c>
      <c r="AB2">
        <v>4</v>
      </c>
      <c r="AC2">
        <v>2</v>
      </c>
      <c r="AD2">
        <v>2</v>
      </c>
      <c r="AE2">
        <v>1</v>
      </c>
      <c r="AF2">
        <v>5</v>
      </c>
      <c r="AG2">
        <v>6</v>
      </c>
      <c r="AH2">
        <v>6</v>
      </c>
      <c r="AI2">
        <v>6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">
      <c r="A3" s="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6</v>
      </c>
      <c r="V3">
        <v>6</v>
      </c>
      <c r="W3">
        <v>4</v>
      </c>
      <c r="X3">
        <v>2</v>
      </c>
      <c r="Y3">
        <v>2</v>
      </c>
      <c r="Z3">
        <v>2</v>
      </c>
      <c r="AA3">
        <v>4</v>
      </c>
      <c r="AB3">
        <v>4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s="3" t="s">
        <v>9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7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</v>
      </c>
      <c r="AG4">
        <v>3</v>
      </c>
      <c r="AH4">
        <v>7</v>
      </c>
      <c r="AI4">
        <v>7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</vt:lpstr>
      <vt:lpstr>Labor 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Microsoft Office User</cp:lastModifiedBy>
  <dcterms:created xsi:type="dcterms:W3CDTF">2019-01-28T23:15:45Z</dcterms:created>
  <dcterms:modified xsi:type="dcterms:W3CDTF">2022-07-07T23:54:47Z</dcterms:modified>
</cp:coreProperties>
</file>