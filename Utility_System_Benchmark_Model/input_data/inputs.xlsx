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system_cost_models/2022_Models/Market Data Models/pv_benchmark/Utility_System_Benchmark_Model/input_data/"/>
    </mc:Choice>
  </mc:AlternateContent>
  <xr:revisionPtr revIDLastSave="0" documentId="13_ncr:1_{65EEC146-A1E9-A44D-A000-01EED7F81F3C}" xr6:coauthVersionLast="47" xr6:coauthVersionMax="47" xr10:uidLastSave="{00000000-0000-0000-0000-000000000000}"/>
  <bookViews>
    <workbookView xWindow="1800" yWindow="460" windowWidth="27000" windowHeight="15760" xr2:uid="{00000000-000D-0000-FFFF-FFFF00000000}"/>
  </bookViews>
  <sheets>
    <sheet name="inputs" sheetId="1" r:id="rId1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1" l="1"/>
  <c r="B9" i="1"/>
</calcChain>
</file>

<file path=xl/sharedStrings.xml><?xml version="1.0" encoding="utf-8"?>
<sst xmlns="http://schemas.openxmlformats.org/spreadsheetml/2006/main" count="77" uniqueCount="73">
  <si>
    <t>Description</t>
  </si>
  <si>
    <t>Value A</t>
  </si>
  <si>
    <t>Value B</t>
  </si>
  <si>
    <t>Value C</t>
  </si>
  <si>
    <t>Value D</t>
  </si>
  <si>
    <t>SYSTEM DESCRIPTION</t>
  </si>
  <si>
    <t>Land Acquisition ($/W)</t>
  </si>
  <si>
    <t>Project Size (MW)</t>
  </si>
  <si>
    <t>Location</t>
  </si>
  <si>
    <t>Labor Rate</t>
  </si>
  <si>
    <t>BLS Survey</t>
  </si>
  <si>
    <t>Year</t>
  </si>
  <si>
    <t>System VDC</t>
  </si>
  <si>
    <t>SYSTEM CONDITIONALS</t>
  </si>
  <si>
    <t>TRUE/FALSE</t>
  </si>
  <si>
    <t>VALUE IF TRUE</t>
  </si>
  <si>
    <t>Fixed Acreage ?</t>
  </si>
  <si>
    <t>Fixed $/m^2 ?</t>
  </si>
  <si>
    <t>Glue for large module ?</t>
  </si>
  <si>
    <t>Thin Film?</t>
  </si>
  <si>
    <t>Tracker?</t>
  </si>
  <si>
    <t>Transmission?</t>
  </si>
  <si>
    <t>Medium Voltage DC Plant (MWDC) ?</t>
  </si>
  <si>
    <t>ENVIRONMENT</t>
  </si>
  <si>
    <t>YES/NO</t>
  </si>
  <si>
    <t>LOW</t>
  </si>
  <si>
    <t>HIGH</t>
  </si>
  <si>
    <t>Environment Saving?</t>
  </si>
  <si>
    <t>No</t>
  </si>
  <si>
    <t>Environment Land Acquisition</t>
  </si>
  <si>
    <t>Environment Permit Reduction</t>
  </si>
  <si>
    <t>MODULES</t>
  </si>
  <si>
    <t>VALUE</t>
  </si>
  <si>
    <t>Module Name</t>
  </si>
  <si>
    <t>Module Efficiency</t>
  </si>
  <si>
    <t>Module Price ($/W)</t>
  </si>
  <si>
    <t>Coefficiency Uncertainty</t>
  </si>
  <si>
    <t>INVERTER</t>
  </si>
  <si>
    <t>Inverter Price ($/Wac)</t>
  </si>
  <si>
    <t>DC to AC Ratio</t>
  </si>
  <si>
    <t>UNCERTAINTY ANALYSIS PERCENTAGES</t>
  </si>
  <si>
    <t>MIN</t>
  </si>
  <si>
    <t>MODE</t>
  </si>
  <si>
    <t>MAX</t>
  </si>
  <si>
    <t>USER ENTERED AVERAGE</t>
  </si>
  <si>
    <t>Design Conservatism Factor</t>
  </si>
  <si>
    <t>Overhead &amp; Profit on Materials and Equipments</t>
  </si>
  <si>
    <t>Profit on labor</t>
  </si>
  <si>
    <t>Permitting Cost</t>
  </si>
  <si>
    <t>Substation Cost</t>
  </si>
  <si>
    <t>Interconnection Fee Factor</t>
  </si>
  <si>
    <t>Contingency - Logistics ?</t>
  </si>
  <si>
    <t>ASCE Coefficient Cn</t>
  </si>
  <si>
    <t>Transmission line distance (mode=0.5 mile)</t>
  </si>
  <si>
    <t>LOADING ANALYSIS</t>
  </si>
  <si>
    <t>Importance Factor, I</t>
  </si>
  <si>
    <t>BALANCE OF STATION</t>
  </si>
  <si>
    <t>EQUIPMENT TYPE</t>
  </si>
  <si>
    <t>Tubing</t>
  </si>
  <si>
    <t xml:space="preserve">4"x4"x0.137" 70 KSI Tubing </t>
  </si>
  <si>
    <t>Column</t>
  </si>
  <si>
    <t>W6 x 15 Shape, Gr. 50</t>
  </si>
  <si>
    <t>Clamp</t>
  </si>
  <si>
    <t>Universal Clamps</t>
  </si>
  <si>
    <t>CONTINGENCY - LOGISTICS</t>
  </si>
  <si>
    <t>Contigency &amp; Logistics Percent</t>
  </si>
  <si>
    <t>Improved Logistics</t>
  </si>
  <si>
    <t>Improved Logistics Percent</t>
  </si>
  <si>
    <t>California</t>
  </si>
  <si>
    <t>VALUE IF TRACKER</t>
  </si>
  <si>
    <t>VALUE IF NO TRACKER</t>
  </si>
  <si>
    <t>POI (MWac)</t>
  </si>
  <si>
    <t>LG400N2W-A5-MC4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</si>
</sst>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9" fontId="0" fillId="0" borderId="0" xfId="0" applyNumberFormat="1"/>
    <xf numFmtId="0" fontId="1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left"/>
    </xf>
    <xf numFmtId="0" fontId="16" fillId="33" borderId="0" xfId="0" applyFont="1" applyFill="1" applyAlignment="1">
      <alignment horizontal="center"/>
    </xf>
    <xf numFmtId="0" fontId="16" fillId="34" borderId="0" xfId="0" applyFont="1" applyFill="1"/>
    <xf numFmtId="0" fontId="16" fillId="34" borderId="0" xfId="0" applyFont="1" applyFill="1" applyAlignment="1">
      <alignment horizontal="center"/>
    </xf>
    <xf numFmtId="0" fontId="0" fillId="34" borderId="0" xfId="0" applyFill="1"/>
    <xf numFmtId="0" fontId="16" fillId="0" borderId="0" xfId="0" applyFont="1" applyAlignment="1">
      <alignment horizontal="center"/>
    </xf>
    <xf numFmtId="0" fontId="0" fillId="35" borderId="0" xfId="0" applyFill="1"/>
    <xf numFmtId="10" fontId="0" fillId="35" borderId="0" xfId="0" applyNumberFormat="1" applyFill="1"/>
    <xf numFmtId="0" fontId="0" fillId="35" borderId="0" xfId="0" applyFill="1" applyAlignment="1">
      <alignment horizontal="right"/>
    </xf>
    <xf numFmtId="2" fontId="0" fillId="35" borderId="0" xfId="0" applyNumberFormat="1" applyFill="1" applyAlignment="1">
      <alignment horizontal="right"/>
    </xf>
    <xf numFmtId="164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B28" sqref="B28"/>
    </sheetView>
  </sheetViews>
  <sheetFormatPr baseColWidth="10" defaultColWidth="8.83203125" defaultRowHeight="15" x14ac:dyDescent="0.2"/>
  <cols>
    <col min="1" max="1" width="43" bestFit="1" customWidth="1"/>
    <col min="2" max="2" width="24.33203125" bestFit="1" customWidth="1"/>
    <col min="3" max="3" width="20" bestFit="1" customWidth="1"/>
    <col min="5" max="5" width="22.5" bestFit="1" customWidth="1"/>
  </cols>
  <sheetData>
    <row r="1" spans="1:5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">
      <c r="A2" s="7" t="s">
        <v>5</v>
      </c>
      <c r="B2" s="8" t="s">
        <v>32</v>
      </c>
      <c r="C2" s="9"/>
      <c r="D2" s="9"/>
      <c r="E2" s="9"/>
    </row>
    <row r="3" spans="1:5" x14ac:dyDescent="0.2">
      <c r="A3" t="s">
        <v>6</v>
      </c>
      <c r="B3" s="3">
        <v>0</v>
      </c>
    </row>
    <row r="4" spans="1:5" x14ac:dyDescent="0.2">
      <c r="A4" t="s">
        <v>7</v>
      </c>
      <c r="B4" s="3">
        <v>100</v>
      </c>
    </row>
    <row r="5" spans="1:5" x14ac:dyDescent="0.2">
      <c r="A5" t="s">
        <v>8</v>
      </c>
      <c r="B5" s="3" t="s">
        <v>68</v>
      </c>
    </row>
    <row r="6" spans="1:5" x14ac:dyDescent="0.2">
      <c r="A6" t="s">
        <v>9</v>
      </c>
      <c r="B6" s="3" t="s">
        <v>10</v>
      </c>
    </row>
    <row r="7" spans="1:5" x14ac:dyDescent="0.2">
      <c r="A7" t="s">
        <v>11</v>
      </c>
      <c r="B7" s="13">
        <v>2022</v>
      </c>
    </row>
    <row r="8" spans="1:5" x14ac:dyDescent="0.2">
      <c r="A8" t="s">
        <v>12</v>
      </c>
      <c r="B8" s="3">
        <v>1500</v>
      </c>
    </row>
    <row r="9" spans="1:5" x14ac:dyDescent="0.2">
      <c r="A9" t="s">
        <v>71</v>
      </c>
      <c r="B9" s="14">
        <f>$B$4/B30</f>
        <v>74.626865671641781</v>
      </c>
      <c r="C9" s="14">
        <f>$B$4/C30</f>
        <v>74.626865671641781</v>
      </c>
    </row>
    <row r="10" spans="1:5" x14ac:dyDescent="0.2">
      <c r="A10" s="7" t="s">
        <v>13</v>
      </c>
      <c r="B10" s="8" t="s">
        <v>14</v>
      </c>
      <c r="C10" s="8" t="s">
        <v>15</v>
      </c>
      <c r="D10" s="9"/>
      <c r="E10" s="9"/>
    </row>
    <row r="11" spans="1:5" x14ac:dyDescent="0.2">
      <c r="A11" t="s">
        <v>16</v>
      </c>
      <c r="B11" t="b">
        <v>0</v>
      </c>
      <c r="C11">
        <v>580</v>
      </c>
    </row>
    <row r="12" spans="1:5" x14ac:dyDescent="0.2">
      <c r="A12" t="s">
        <v>17</v>
      </c>
      <c r="B12" t="b">
        <v>0</v>
      </c>
      <c r="C12">
        <v>104</v>
      </c>
    </row>
    <row r="13" spans="1:5" x14ac:dyDescent="0.2">
      <c r="A13" t="s">
        <v>18</v>
      </c>
      <c r="B13" t="b">
        <v>0</v>
      </c>
    </row>
    <row r="14" spans="1:5" x14ac:dyDescent="0.2">
      <c r="A14" t="s">
        <v>19</v>
      </c>
      <c r="B14" t="b">
        <v>0</v>
      </c>
    </row>
    <row r="15" spans="1:5" x14ac:dyDescent="0.2">
      <c r="A15" t="s">
        <v>20</v>
      </c>
      <c r="B15" t="b">
        <v>1</v>
      </c>
    </row>
    <row r="16" spans="1:5" x14ac:dyDescent="0.2">
      <c r="A16" t="s">
        <v>21</v>
      </c>
      <c r="B16" t="b">
        <v>1</v>
      </c>
    </row>
    <row r="17" spans="1:6" x14ac:dyDescent="0.2">
      <c r="A17" t="s">
        <v>22</v>
      </c>
      <c r="B17" t="b">
        <v>0</v>
      </c>
      <c r="C17" s="1">
        <v>0.5</v>
      </c>
    </row>
    <row r="18" spans="1:6" x14ac:dyDescent="0.2">
      <c r="A18" s="7" t="s">
        <v>23</v>
      </c>
      <c r="B18" s="8" t="s">
        <v>24</v>
      </c>
      <c r="C18" s="8" t="s">
        <v>25</v>
      </c>
      <c r="D18" s="8" t="s">
        <v>26</v>
      </c>
      <c r="E18" s="9"/>
    </row>
    <row r="19" spans="1:6" x14ac:dyDescent="0.2">
      <c r="A19" t="s">
        <v>27</v>
      </c>
      <c r="B19" s="4" t="s">
        <v>28</v>
      </c>
    </row>
    <row r="20" spans="1:6" x14ac:dyDescent="0.2">
      <c r="A20" t="s">
        <v>29</v>
      </c>
      <c r="C20" s="1">
        <v>0.05</v>
      </c>
      <c r="D20" s="1">
        <v>0.1</v>
      </c>
    </row>
    <row r="21" spans="1:6" x14ac:dyDescent="0.2">
      <c r="A21" t="s">
        <v>30</v>
      </c>
      <c r="C21" s="1">
        <v>0.01</v>
      </c>
      <c r="D21" s="1">
        <v>0.05</v>
      </c>
    </row>
    <row r="22" spans="1:6" x14ac:dyDescent="0.2">
      <c r="A22" s="7" t="s">
        <v>31</v>
      </c>
      <c r="B22" s="8" t="s">
        <v>32</v>
      </c>
      <c r="C22" s="9"/>
      <c r="D22" s="9"/>
      <c r="E22" s="9"/>
    </row>
    <row r="23" spans="1:6" x14ac:dyDescent="0.2">
      <c r="A23" t="s">
        <v>33</v>
      </c>
      <c r="B23" s="3" t="s">
        <v>72</v>
      </c>
    </row>
    <row r="24" spans="1:6" x14ac:dyDescent="0.2">
      <c r="A24" t="s">
        <v>34</v>
      </c>
      <c r="B24" s="12">
        <v>0.20300000000000001</v>
      </c>
    </row>
    <row r="25" spans="1:6" x14ac:dyDescent="0.2">
      <c r="A25" t="s">
        <v>35</v>
      </c>
      <c r="B25" s="11">
        <v>0.37</v>
      </c>
    </row>
    <row r="26" spans="1:6" x14ac:dyDescent="0.2">
      <c r="A26" t="s">
        <v>36</v>
      </c>
      <c r="B26">
        <v>0.7</v>
      </c>
    </row>
    <row r="27" spans="1:6" x14ac:dyDescent="0.2">
      <c r="A27" s="7" t="s">
        <v>37</v>
      </c>
      <c r="B27" s="8" t="s">
        <v>32</v>
      </c>
      <c r="C27" s="9"/>
      <c r="D27" s="9"/>
      <c r="E27" s="9"/>
    </row>
    <row r="28" spans="1:6" x14ac:dyDescent="0.2">
      <c r="A28" t="s">
        <v>38</v>
      </c>
      <c r="B28" s="15">
        <v>3.9E-2</v>
      </c>
    </row>
    <row r="29" spans="1:6" x14ac:dyDescent="0.2">
      <c r="A29" s="2"/>
      <c r="B29" s="10" t="s">
        <v>69</v>
      </c>
      <c r="C29" s="10" t="s">
        <v>70</v>
      </c>
      <c r="D29" s="2"/>
      <c r="E29" s="2"/>
    </row>
    <row r="30" spans="1:6" x14ac:dyDescent="0.2">
      <c r="A30" t="s">
        <v>39</v>
      </c>
      <c r="B30" s="11">
        <v>1.34</v>
      </c>
      <c r="C30" s="11">
        <v>1.34</v>
      </c>
    </row>
    <row r="31" spans="1:6" x14ac:dyDescent="0.2">
      <c r="A31" s="7" t="s">
        <v>40</v>
      </c>
      <c r="B31" s="8" t="s">
        <v>41</v>
      </c>
      <c r="C31" s="8" t="s">
        <v>42</v>
      </c>
      <c r="D31" s="8" t="s">
        <v>43</v>
      </c>
      <c r="E31" s="8" t="s">
        <v>44</v>
      </c>
      <c r="F31" s="2"/>
    </row>
    <row r="32" spans="1:6" x14ac:dyDescent="0.2">
      <c r="A32" t="s">
        <v>45</v>
      </c>
      <c r="B32">
        <v>0.77</v>
      </c>
      <c r="C32">
        <v>1</v>
      </c>
      <c r="D32">
        <v>1.1499999999999999</v>
      </c>
      <c r="E32">
        <v>0.98670000000000002</v>
      </c>
    </row>
    <row r="33" spans="1:5" x14ac:dyDescent="0.2">
      <c r="A33" t="s">
        <v>46</v>
      </c>
      <c r="B33">
        <v>0.05</v>
      </c>
      <c r="C33">
        <v>0.1</v>
      </c>
      <c r="D33">
        <v>0.15</v>
      </c>
    </row>
    <row r="34" spans="1:5" x14ac:dyDescent="0.2">
      <c r="A34" t="s">
        <v>47</v>
      </c>
      <c r="B34">
        <v>0.05</v>
      </c>
      <c r="C34">
        <v>0.1</v>
      </c>
      <c r="D34">
        <v>0.15</v>
      </c>
    </row>
    <row r="35" spans="1:5" x14ac:dyDescent="0.2">
      <c r="A35" t="s">
        <v>48</v>
      </c>
      <c r="B35">
        <v>0</v>
      </c>
      <c r="C35">
        <v>1</v>
      </c>
      <c r="D35">
        <v>2</v>
      </c>
      <c r="E35">
        <v>1.0832999999999999</v>
      </c>
    </row>
    <row r="36" spans="1:5" x14ac:dyDescent="0.2">
      <c r="A36" t="s">
        <v>49</v>
      </c>
      <c r="B36">
        <v>0.83</v>
      </c>
      <c r="C36">
        <v>1</v>
      </c>
      <c r="D36">
        <v>2.08</v>
      </c>
      <c r="E36">
        <v>1.1516999999999999</v>
      </c>
    </row>
    <row r="37" spans="1:5" x14ac:dyDescent="0.2">
      <c r="A37" t="s">
        <v>50</v>
      </c>
      <c r="B37">
        <v>0.19</v>
      </c>
      <c r="C37">
        <v>1</v>
      </c>
      <c r="D37">
        <v>1.37</v>
      </c>
      <c r="E37">
        <v>0.92669999999999997</v>
      </c>
    </row>
    <row r="38" spans="1:5" x14ac:dyDescent="0.2">
      <c r="A38" t="s">
        <v>51</v>
      </c>
      <c r="B38">
        <v>0.03</v>
      </c>
      <c r="C38">
        <v>0.04</v>
      </c>
      <c r="D38">
        <v>0.05</v>
      </c>
      <c r="E38">
        <v>0.03</v>
      </c>
    </row>
    <row r="39" spans="1:5" x14ac:dyDescent="0.2">
      <c r="A39" t="s">
        <v>52</v>
      </c>
      <c r="B39">
        <v>0.25</v>
      </c>
      <c r="C39">
        <v>1</v>
      </c>
      <c r="D39">
        <v>1.75</v>
      </c>
      <c r="E39">
        <v>1</v>
      </c>
    </row>
    <row r="40" spans="1:5" x14ac:dyDescent="0.2">
      <c r="A40" t="s">
        <v>53</v>
      </c>
      <c r="B40">
        <v>0</v>
      </c>
      <c r="C40">
        <v>1</v>
      </c>
      <c r="D40">
        <v>10</v>
      </c>
      <c r="E40">
        <v>1</v>
      </c>
    </row>
    <row r="41" spans="1:5" x14ac:dyDescent="0.2">
      <c r="A41" s="7" t="s">
        <v>54</v>
      </c>
      <c r="B41" s="8" t="s">
        <v>32</v>
      </c>
      <c r="C41" s="9"/>
      <c r="D41" s="9"/>
      <c r="E41" s="9"/>
    </row>
    <row r="42" spans="1:5" x14ac:dyDescent="0.2">
      <c r="A42" t="s">
        <v>55</v>
      </c>
      <c r="B42">
        <v>0.98670000000000002</v>
      </c>
    </row>
    <row r="43" spans="1:5" x14ac:dyDescent="0.2">
      <c r="A43" s="7" t="s">
        <v>56</v>
      </c>
      <c r="B43" s="8" t="s">
        <v>57</v>
      </c>
      <c r="C43" s="9"/>
      <c r="D43" s="9"/>
      <c r="E43" s="9"/>
    </row>
    <row r="44" spans="1:5" x14ac:dyDescent="0.2">
      <c r="A44" t="s">
        <v>58</v>
      </c>
      <c r="B44" s="3" t="s">
        <v>59</v>
      </c>
    </row>
    <row r="45" spans="1:5" x14ac:dyDescent="0.2">
      <c r="A45" t="s">
        <v>60</v>
      </c>
      <c r="B45" s="3" t="s">
        <v>61</v>
      </c>
    </row>
    <row r="46" spans="1:5" x14ac:dyDescent="0.2">
      <c r="A46" t="s">
        <v>62</v>
      </c>
      <c r="B46" s="3" t="s">
        <v>63</v>
      </c>
    </row>
    <row r="47" spans="1:5" x14ac:dyDescent="0.2">
      <c r="A47" s="7" t="s">
        <v>64</v>
      </c>
      <c r="B47" s="8" t="s">
        <v>32</v>
      </c>
      <c r="C47" s="9"/>
      <c r="D47" s="9"/>
      <c r="E47" s="9"/>
    </row>
    <row r="48" spans="1:5" x14ac:dyDescent="0.2">
      <c r="A48" t="s">
        <v>65</v>
      </c>
      <c r="B48">
        <v>0.03</v>
      </c>
    </row>
    <row r="49" spans="1:2" x14ac:dyDescent="0.2">
      <c r="A49" t="s">
        <v>66</v>
      </c>
      <c r="B49" s="3" t="b">
        <v>0</v>
      </c>
    </row>
    <row r="50" spans="1:2" x14ac:dyDescent="0.2">
      <c r="A50" t="s">
        <v>67</v>
      </c>
      <c r="B50">
        <v>1.4999999999999999E-2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Microsoft Office User</cp:lastModifiedBy>
  <dcterms:created xsi:type="dcterms:W3CDTF">2019-02-28T17:35:55Z</dcterms:created>
  <dcterms:modified xsi:type="dcterms:W3CDTF">2022-08-18T22:29:21Z</dcterms:modified>
</cp:coreProperties>
</file>